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51448de5e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9f80f3c4dc48d4"/>
    <x:sheet xmlns:r="http://schemas.openxmlformats.org/officeDocument/2006/relationships" name="Ingest_Checklist" sheetId="2" r:id="R626d057a9fb041c9"/>
    <x:sheet xmlns:r="http://schemas.openxmlformats.org/officeDocument/2006/relationships" name="R1_Forest_Plans" sheetId="3" r:id="R497419ce44d94b73"/>
    <x:sheet xmlns:r="http://schemas.openxmlformats.org/officeDocument/2006/relationships" name="EA_Record_Checklist" sheetId="4" r:id="Rab572a71709e4acd"/>
    <x:sheet xmlns:r="http://schemas.openxmlformats.org/officeDocument/2006/relationships" name="Project_AddOns" sheetId="5" r:id="R0c756985acaa4be1"/>
    <x:sheet xmlns:r="http://schemas.openxmlformats.org/officeDocument/2006/relationships" name="Scope_Exclusions" sheetId="6" r:id="R42da847aa6944158"/>
    <x:sheet xmlns:r="http://schemas.openxmlformats.org/officeDocument/2006/relationships" name="Audit_Trail" sheetId="7" r:id="Rbecae1bb5fe94bbb"/>
    <x:sheet xmlns:r="http://schemas.openxmlformats.org/officeDocument/2006/relationships" name="Legend" sheetId="8" r:id="Ra8787131203c4a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1E3A8A"/>
      <x:name val="Carlito"/>
    </x:font>
    <x:font>
      <x:b/>
      <x:sz val="11"/>
      <x:name val="Carlito"/>
    </x:font>
    <x:font>
      <x:b/>
      <x:sz val="14"/>
      <x:color rgb="1E3A8A"/>
      <x:name val="Carlito"/>
    </x:font>
    <x:font>
      <x:i/>
      <x:sz val="11"/>
      <x:color rgb="374151"/>
      <x:name val="Carlito"/>
    </x:font>
    <x:font>
      <x:b/>
      <x:sz val="11"/>
      <x:color rgb="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FF6FF"/>
      </x:patternFill>
    </x:fill>
    <x:fill>
      <x:patternFill patternType="solid">
        <x:fgColor rgb="DBEAFE"/>
      </x:patternFill>
    </x:fill>
  </x:fills>
  <x:borders count="20">
    <x:border/>
    <x:border/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4421ed8fb4a25" /><Relationship Type="http://schemas.openxmlformats.org/officeDocument/2006/relationships/theme" Target="/xl/theme/theme1.xml" Id="Rd49a947855f54aa7" /><Relationship Type="http://schemas.openxmlformats.org/officeDocument/2006/relationships/sharedStrings" Target="/xl/sharedStrings.xml" Id="R4bc737b2271044d4" /><Relationship Type="http://schemas.openxmlformats.org/officeDocument/2006/relationships/worksheet" Target="/xl/worksheets/sheet1.xml" Id="Rdf9f80f3c4dc48d4" /><Relationship Type="http://schemas.openxmlformats.org/officeDocument/2006/relationships/worksheet" Target="/xl/worksheets/sheet2.xml" Id="R626d057a9fb041c9" /><Relationship Type="http://schemas.openxmlformats.org/officeDocument/2006/relationships/worksheet" Target="/xl/worksheets/sheet3.xml" Id="R497419ce44d94b73" /><Relationship Type="http://schemas.openxmlformats.org/officeDocument/2006/relationships/worksheet" Target="/xl/worksheets/sheet4.xml" Id="Rab572a71709e4acd" /><Relationship Type="http://schemas.openxmlformats.org/officeDocument/2006/relationships/worksheet" Target="/xl/worksheets/sheet5.xml" Id="R0c756985acaa4be1" /><Relationship Type="http://schemas.openxmlformats.org/officeDocument/2006/relationships/worksheet" Target="/xl/worksheets/sheet6.xml" Id="R42da847aa6944158" /><Relationship Type="http://schemas.openxmlformats.org/officeDocument/2006/relationships/worksheet" Target="/xl/worksheets/sheet7.xml" Id="Rbecae1bb5fe94bbb" /><Relationship Type="http://schemas.openxmlformats.org/officeDocument/2006/relationships/worksheet" Target="/xl/worksheets/sheet8.xml" Id="Ra8787131203c4a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50" hidden="0" customWidth="1"/>
  </x:cols>
  <x:sheetData>
    <x:row r="1" ht="28" customHeight="1">
      <x:c r="A1" s="10" t="str">
        <x:v>USDA Forest Service Region 1 Environmental Assessment Checklist Workbook</x:v>
      </x:c>
      <x:c r="B1" s="10" t="str"/>
      <x:c r="C1" s="10" t="str"/>
      <x:c r="D1" s="10" t="str"/>
      <x:c r="E1" s="10" t="str"/>
      <x:c r="F1" s="10" t="str"/>
    </x:row>
    <x:row r="2">
      <x:c r="A2" s="11"/>
      <x:c r="B2" s="11"/>
      <x:c r="C2" s="11"/>
      <x:c r="D2" s="11"/>
      <x:c r="E2" s="11"/>
      <x:c r="F2" s="11"/>
    </x:row>
    <x:row r="3" ht="35" customHeight="1">
      <x:c r="A3" s="12" t="str">
        <x:v>Workbook</x:v>
      </x:c>
      <x:c r="B3" s="11" t="str">
        <x:v>USDA Forest Service Region 1 Environmental Assessment Review-Engine Checklist</x:v>
      </x:c>
      <x:c r="C3" s="11"/>
      <x:c r="D3" s="11"/>
      <x:c r="E3" s="11"/>
      <x:c r="F3" s="11"/>
    </x:row>
    <x:row r="4" ht="35" customHeight="1">
      <x:c r="A4" s="12" t="str">
        <x:v>Scope</x:v>
      </x:c>
      <x:c r="B4" s="11" t="str">
        <x:v>Region 1 / Northern Region EAs on National Forest System lands; excludes noncurrent, EIS-only, coastal/marine, Alaska, Colorado-only, and other non-applicable documents.</x:v>
      </x:c>
      <x:c r="C4" s="11"/>
      <x:c r="D4" s="11"/>
      <x:c r="E4" s="11"/>
      <x:c r="F4" s="11"/>
    </x:row>
    <x:row r="5" ht="35" customHeight="1">
      <x:c r="A5" s="12" t="str">
        <x:v>Currentness date</x:v>
      </x:c>
      <x:c r="B5" s="11" t="str">
        <x:v>April 29, 2026</x:v>
      </x:c>
      <x:c r="C5" s="11"/>
      <x:c r="D5" s="11"/>
      <x:c r="E5" s="11"/>
      <x:c r="F5" s="11"/>
    </x:row>
    <x:row r="6" ht="35" customHeight="1">
      <x:c r="A6" s="12" t="str">
        <x:v>Primary current NEPA source</x:v>
      </x:c>
      <x:c r="B6" s="11" t="str">
        <x:v>7 CFR part 1b, effective Apr. 3, 2026</x:v>
      </x:c>
      <x:c r="C6" s="11"/>
      <x:c r="D6" s="11"/>
      <x:c r="E6" s="11"/>
      <x:c r="F6" s="11"/>
    </x:row>
    <x:row r="7" ht="35" customHeight="1">
      <x:c r="A7" s="12" t="str">
        <x:v>Current Region 1 sources</x:v>
      </x:c>
      <x:c r="B7" s="11" t="str">
        <x:v>Forest Service Northern Region planning pages, unit forest/grassland plans, Region 1 SCC page, and current Region 1 field directives index.</x:v>
      </x:c>
      <x:c r="C7" s="11"/>
      <x:c r="D7" s="11"/>
      <x:c r="E7" s="11"/>
      <x:c r="F7" s="11"/>
    </x:row>
    <x:row r="8" ht="35" customHeight="1">
      <x:c r="A8" s="12" t="str">
        <x:v>How to use</x:v>
      </x:c>
      <x:c r="B8" s="11" t="str">
        <x:v>Ingest the Ingest_Checklist and R1_Forest_Plans sheets. Use Scope=Baseline for all EAs and enforce Scope=Conditional only when project facts trigger the source.</x:v>
      </x:c>
      <x:c r="C8" s="11"/>
      <x:c r="D8" s="11"/>
      <x:c r="E8" s="11"/>
      <x:c r="F8" s="11"/>
    </x:row>
    <x:row r="9" ht="35" customHeight="1">
      <x:c r="A9" s="12" t="str">
        <x:v>Important exclusion</x:v>
      </x:c>
      <x:c r="B9" s="11" t="str">
        <x:v>Do not use CEQ 40 CFR parts 1500-1508 or former 36 CFR part 220 as current controlling NEPA standards.</x:v>
      </x:c>
      <x:c r="C9" s="11"/>
      <x:c r="D9" s="11"/>
      <x:c r="E9" s="11"/>
      <x:c r="F9" s="11"/>
    </x:row>
    <x:row r="10" ht="35" customHeight="1">
      <x:c r="A10" s="12"/>
      <x:c r="B10" s="11"/>
      <x:c r="C10" s="11"/>
      <x:c r="D10" s="11"/>
      <x:c r="E10" s="11"/>
      <x:c r="F10" s="11"/>
    </x:row>
    <x:row r="11" ht="35" customHeight="1">
      <x:c r="A11" s="11"/>
      <x:c r="B11" s="11"/>
      <x:c r="C11" s="11"/>
      <x:c r="D11" s="11"/>
      <x:c r="E11" s="11"/>
      <x:c r="F11" s="11"/>
    </x:row>
    <x:row r="12" ht="28" customHeight="1">
      <x:c r="A12" s="12" t="str">
        <x:v>Metric</x:v>
      </x:c>
      <x:c r="B12" s="12" t="str">
        <x:v>Formula / Count</x:v>
      </x:c>
      <x:c r="C12" s="11"/>
      <x:c r="D12" s="11"/>
      <x:c r="E12" s="11"/>
      <x:c r="F12" s="11"/>
    </x:row>
    <x:row r="13" ht="35" customHeight="1">
      <x:c r="A13" s="11" t="str">
        <x:v>Ingest checklist rows</x:v>
      </x:c>
      <x:c r="B13" s="11" t="n">
        <x:f>COUNTA(Ingest_Checklist!A5:A1000)</x:f>
        <x:v>123</x:v>
      </x:c>
      <x:c r="C13" s="11"/>
      <x:c r="D13" s="11"/>
      <x:c r="E13" s="11"/>
      <x:c r="F13" s="11"/>
    </x:row>
    <x:row r="14" ht="35" customHeight="1">
      <x:c r="A14" s="11" t="str">
        <x:v>Baseline ingest rows</x:v>
      </x:c>
      <x:c r="B14" s="11" t="n">
        <x:f>COUNTIF(Ingest_Checklist!C5:C1000,"Baseline")</x:f>
        <x:v>26</x:v>
      </x:c>
      <x:c r="C14" s="11"/>
      <x:c r="D14" s="11"/>
      <x:c r="E14" s="11"/>
      <x:c r="F14" s="11"/>
    </x:row>
    <x:row r="15" ht="35" customHeight="1">
      <x:c r="A15" s="11" t="str">
        <x:v>Conditional ingest rows</x:v>
      </x:c>
      <x:c r="B15" s="11" t="n">
        <x:f>COUNTIF(Ingest_Checklist!C5:C1000,"Conditional")</x:f>
        <x:v>97</x:v>
      </x:c>
      <x:c r="C15" s="11"/>
      <x:c r="D15" s="11"/>
      <x:c r="E15" s="11"/>
      <x:c r="F15" s="11"/>
    </x:row>
    <x:row r="16" ht="35" customHeight="1">
      <x:c r="A16" s="11" t="str">
        <x:v>Region 1 plan/overlay rows</x:v>
      </x:c>
      <x:c r="B16" s="11" t="n">
        <x:f>COUNTA(R1_Forest_Plans!A5:A1000)</x:f>
        <x:v>24</x:v>
      </x:c>
      <x:c r="C16" s="11"/>
      <x:c r="D16" s="11"/>
      <x:c r="E16" s="11"/>
      <x:c r="F16" s="11"/>
    </x:row>
    <x:row r="17" ht="35" customHeight="1">
      <x:c r="A17" s="11" t="str">
        <x:v>EA record checklist rows</x:v>
      </x:c>
      <x:c r="B17" s="11" t="n">
        <x:f>COUNTA(EA_Record_Checklist!A5:A1000)</x:f>
        <x:v>27</x:v>
      </x:c>
      <x:c r="C17" s="11"/>
      <x:c r="D17" s="11"/>
      <x:c r="E17" s="11"/>
      <x:c r="F17" s="11"/>
    </x:row>
    <x:row r="18" ht="35" customHeight="1">
      <x:c r="A18" s="11" t="str">
        <x:v>Project add-on rows</x:v>
      </x:c>
      <x:c r="B18" s="11" t="n">
        <x:f>COUNTA(Project_AddOns!A5:A1000)</x:f>
        <x:v>40</x:v>
      </x:c>
      <x:c r="C18" s="11"/>
      <x:c r="D18" s="11"/>
      <x:c r="E18" s="11"/>
      <x:c r="F18" s="11"/>
    </x:row>
    <x:row r="19" ht="35" customHeight="1">
      <x:c r="A19" s="11"/>
      <x:c r="B19" s="11"/>
      <x:c r="C19" s="11"/>
      <x:c r="D19" s="11"/>
      <x:c r="E19" s="11"/>
      <x:c r="F19" s="11"/>
    </x:row>
    <x:row r="20" ht="28" customHeight="1">
      <x:c r="A20" s="12" t="str">
        <x:v>Key source</x:v>
      </x:c>
      <x:c r="B20" s="12" t="str">
        <x:v>Link</x:v>
      </x:c>
      <x:c r="C20" s="12" t="str">
        <x:v>Use</x:v>
      </x:c>
      <x:c r="D20" s="11"/>
      <x:c r="E20" s="11"/>
      <x:c r="F20" s="11"/>
    </x:row>
    <x:row r="21" ht="35" customHeight="1">
      <x:c r="A21" s="11" t="str">
        <x:v>7 CFR part 1b</x:v>
      </x:c>
      <x:c r="B21" s="11" t="str">
        <x:v>https://www.ecfr.gov/current/title-7/subtitle-A/part-1b</x:v>
      </x:c>
      <x:c r="C21" s="11" t="str">
        <x:v>Current USDA NEPA procedure</x:v>
      </x:c>
      <x:c r="D21" s="11"/>
      <x:c r="E21" s="11"/>
      <x:c r="F21" s="11"/>
    </x:row>
    <x:row r="22" ht="35" customHeight="1">
      <x:c r="A22" s="11" t="str">
        <x:v>USDA Apr. 3, 2026 final rule</x:v>
      </x:c>
      <x:c r="B22" s="11" t="str">
        <x:v>https://www.federalregister.gov/documents/2026/04/03/2026-06537/national-environmental-policy-act</x:v>
      </x:c>
      <x:c r="C22" s="11" t="str">
        <x:v>Rulemaking/audit source</x:v>
      </x:c>
      <x:c r="D22" s="11"/>
      <x:c r="E22" s="11"/>
      <x:c r="F22" s="11"/>
    </x:row>
    <x:row r="23" ht="35" customHeight="1">
      <x:c r="A23" s="11" t="str">
        <x:v>Forest Service NEPA page</x:v>
      </x:c>
      <x:c r="B23" s="11" t="str">
        <x:v>https://www.fs.usda.gov/about-agency/regulations-policies/nepa</x:v>
      </x:c>
      <x:c r="C23" s="11" t="str">
        <x:v>Agency context</x:v>
      </x:c>
      <x:c r="D23" s="11"/>
      <x:c r="E23" s="11"/>
      <x:c r="F23" s="11"/>
    </x:row>
    <x:row r="24" ht="35" customHeight="1">
      <x:c r="A24" s="11" t="str">
        <x:v>Northern Region planning page</x:v>
      </x:c>
      <x:c r="B24" s="11" t="str">
        <x:v>https://www.fs.usda.gov/r01/planning</x:v>
      </x:c>
      <x:c r="C24" s="11" t="str">
        <x:v>R1 plan/SCC source</x:v>
      </x:c>
      <x:c r="D24" s="11"/>
      <x:c r="E24" s="11"/>
      <x:c r="F24" s="11"/>
    </x:row>
    <x:row r="25" ht="35" customHeight="1">
      <x:c r="A25" s="11" t="str">
        <x:v>Region 1 SCC page</x:v>
      </x:c>
      <x:c r="B25" s="11" t="str">
        <x:v>https://www.fs.usda.gov/r01/planning/species-conservation-concern</x:v>
      </x:c>
      <x:c r="C25" s="11" t="str">
        <x:v>SCC source</x:v>
      </x:c>
      <x:c r="D25" s="11"/>
      <x:c r="E25" s="11"/>
      <x:c r="F25" s="11"/>
    </x:row>
    <x:row r="26" ht="35" customHeight="1">
      <x:c r="A26" s="11" t="str">
        <x:v>36 CFR part 219</x:v>
      </x:c>
      <x:c r="B26" s="11" t="str">
        <x:v>https://www.ecfr.gov/current/title-36/chapter-II/part-219</x:v>
      </x:c>
      <x:c r="C26" s="11" t="str">
        <x:v>Forest plan consistency</x:v>
      </x:c>
      <x:c r="D26" s="11"/>
      <x:c r="E26" s="11"/>
      <x:c r="F26" s="11"/>
    </x:row>
    <x:row r="27" ht="35" customHeight="1">
      <x:c r="A27" s="11" t="str">
        <x:v>36 CFR part 218</x:v>
      </x:c>
      <x:c r="B27" s="11" t="str">
        <x:v>https://www.ecfr.gov/current/title-36/chapter-II/part-218</x:v>
      </x:c>
      <x:c r="C27" s="11" t="str">
        <x:v>Project objections</x:v>
      </x:c>
      <x:c r="D27" s="11"/>
      <x:c r="E27" s="11"/>
      <x:c r="F27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2" hidden="0" customWidth="1"/>
    <x:col min="5" max="5" width="42" hidden="0" customWidth="1"/>
    <x:col min="6" max="6" width="65" hidden="0" customWidth="1"/>
    <x:col min="7" max="7" width="26" hidden="0" customWidth="1"/>
    <x:col min="8" max="8" width="22" hidden="0" customWidth="1"/>
    <x:col min="9" max="9" width="34" hidden="0" customWidth="1"/>
    <x:col min="10" max="10" width="46" hidden="0" customWidth="1"/>
    <x:col min="11" max="11" width="60" hidden="0" customWidth="1"/>
    <x:col min="12" max="12" width="38" hidden="0" customWidth="1"/>
  </x:cols>
  <x:sheetData>
    <x:row r="1" ht="26" customHeight="1">
      <x:c r="A1" s="28" t="str">
        <x:v>Ingest Checklist — Region 1 USDA Forest Service Environmental Assessments</x:v>
      </x:c>
      <x:c r="B1" s="28" t="str"/>
      <x:c r="C1" s="28" t="str"/>
      <x:c r="D1" s="28" t="str"/>
      <x:c r="E1" s="28" t="str"/>
      <x:c r="F1" s="28" t="str"/>
      <x:c r="G1" s="28" t="str"/>
      <x:c r="H1" s="28" t="str"/>
      <x:c r="I1" s="28" t="str"/>
      <x:c r="J1" s="28" t="str"/>
      <x:c r="K1" s="28" t="str"/>
      <x:c r="L1" s="28" t="str"/>
    </x:row>
    <x:row r="2" ht="32" customHeight="1">
      <x:c r="A2" s="29" t="str">
        <x:v>Sources to ingest for a Region 1 EA review engine. Baseline rows apply to all EAs; conditional rows apply only when triggered by project facts.</x:v>
      </x:c>
      <x:c r="B2" s="29" t="str"/>
      <x:c r="C2" s="29" t="str"/>
      <x:c r="D2" s="29" t="str"/>
      <x:c r="E2" s="29" t="str"/>
      <x:c r="F2" s="29" t="str"/>
      <x:c r="G2" s="29" t="str"/>
      <x:c r="H2" s="29" t="str"/>
      <x:c r="I2" s="29" t="str"/>
      <x:c r="J2" s="29" t="str"/>
      <x:c r="K2" s="29" t="str"/>
      <x:c r="L2" s="29" t="str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 ht="36" customHeight="1">
      <x:c r="A4" s="36" t="str">
        <x:v>ID</x:v>
      </x:c>
      <x:c r="B4" s="37" t="str">
        <x:v>Ingest_Status</x:v>
      </x:c>
      <x:c r="C4" s="37" t="str">
        <x:v>Scope</x:v>
      </x:c>
      <x:c r="D4" s="37" t="str">
        <x:v>Layer</x:v>
      </x:c>
      <x:c r="E4" s="37" t="str">
        <x:v>Document / Source</x:v>
      </x:c>
      <x:c r="F4" s="37" t="str">
        <x:v>Official_Link</x:v>
      </x:c>
      <x:c r="G4" s="37" t="str">
        <x:v>Issuer</x:v>
      </x:c>
      <x:c r="H4" s="37" t="str">
        <x:v>Document_Type</x:v>
      </x:c>
      <x:c r="I4" s="37" t="str">
        <x:v>Applies_To</x:v>
      </x:c>
      <x:c r="J4" s="37" t="str">
        <x:v>Trigger / When to Apply</x:v>
      </x:c>
      <x:c r="K4" s="37" t="str">
        <x:v>Review_Engine_Checks</x:v>
      </x:c>
      <x:c r="L4" s="38" t="str">
        <x:v>Currentness / Notes</x:v>
      </x:c>
    </x:row>
    <x:row r="5" ht="60" customHeight="1">
      <x:c r="A5" s="39" t="str">
        <x:v>R1EA-001</x:v>
      </x:c>
      <x:c r="B5" s="40" t="str">
        <x:v>Ingest</x:v>
      </x:c>
      <x:c r="C5" s="40" t="str">
        <x:v>Baseline</x:v>
      </x:c>
      <x:c r="D5" s="40" t="str">
        <x:v>NEPA statute</x:v>
      </x:c>
      <x:c r="E5" s="40" t="str">
        <x:v>National Environmental Policy Act, 42 U.S.C. chapter 55</x:v>
      </x:c>
      <x:c r="F5" s="40" t="str">
        <x:v>https://uscode.house.gov/view.xhtml?path=/prelim@title42/chapter55&amp;edition=prelim</x:v>
      </x:c>
      <x:c r="G5" s="40" t="str">
        <x:v>Congress</x:v>
      </x:c>
      <x:c r="H5" s="40" t="str">
        <x:v>Statute</x:v>
      </x:c>
      <x:c r="I5" s="40" t="str">
        <x:v>All Region 1 EAs</x:v>
      </x:c>
      <x:c r="J5" s="40" t="str">
        <x:v>Any proposed USDA Forest Service action subject to NEPA</x:v>
      </x:c>
      <x:c r="K5" s="40" t="str">
        <x:v>Identify NEPA statutory authority; verify EA is used only where significance is unknown or not likely; validate time/page-limit metadata</x:v>
      </x:c>
      <x:c r="L5" s="41" t="str">
        <x:v>Current U.S. Code baseline</x:v>
      </x:c>
    </x:row>
    <x:row r="6" ht="60" customHeight="1">
      <x:c r="A6" s="39" t="str">
        <x:v>R1EA-002</x:v>
      </x:c>
      <x:c r="B6" s="40" t="str">
        <x:v>Ingest</x:v>
      </x:c>
      <x:c r="C6" s="40" t="str">
        <x:v>Baseline</x:v>
      </x:c>
      <x:c r="D6" s="40" t="str">
        <x:v>NEPA statute</x:v>
      </x:c>
      <x:c r="E6" s="40" t="str">
        <x:v>42 U.S.C. § 4332 - Cooperation of agencies; reports; availability of information</x:v>
      </x:c>
      <x:c r="F6" s="40" t="str">
        <x:v>https://uscode.house.gov/view.xhtml?req=(title:42%20section:4332%20edition:prelim)</x:v>
      </x:c>
      <x:c r="G6" s="40" t="str">
        <x:v>Congress</x:v>
      </x:c>
      <x:c r="H6" s="40" t="str">
        <x:v>Statute section</x:v>
      </x:c>
      <x:c r="I6" s="40" t="str">
        <x:v>All Region 1 EAs</x:v>
      </x:c>
      <x:c r="J6" s="40" t="str">
        <x:v>EA must be grounded in statutory NEPA duties</x:v>
      </x:c>
      <x:c r="K6" s="40" t="str">
        <x:v>Check purpose/need, agency consultation, environmental information, alternatives when needed, and public availability of documents/comments</x:v>
      </x:c>
      <x:c r="L6" s="41" t="str">
        <x:v>Use current statutory text</x:v>
      </x:c>
    </x:row>
    <x:row r="7" ht="60" customHeight="1">
      <x:c r="A7" s="39" t="str">
        <x:v>R1EA-003</x:v>
      </x:c>
      <x:c r="B7" s="40" t="str">
        <x:v>Ingest</x:v>
      </x:c>
      <x:c r="C7" s="40" t="str">
        <x:v>Baseline</x:v>
      </x:c>
      <x:c r="D7" s="40" t="str">
        <x:v>NEPA statute</x:v>
      </x:c>
      <x:c r="E7" s="40" t="str">
        <x:v>42 U.S.C. § 4336 - Procedure for determination of level of review</x:v>
      </x:c>
      <x:c r="F7" s="40" t="str">
        <x:v>https://uscode.house.gov/view.xhtml?req=(title:42%20section:4336%20edition:prelim)</x:v>
      </x:c>
      <x:c r="G7" s="40" t="str">
        <x:v>Congress</x:v>
      </x:c>
      <x:c r="H7" s="40" t="str">
        <x:v>Statute section</x:v>
      </x:c>
      <x:c r="I7" s="40" t="str">
        <x:v>All Region 1 EAs</x:v>
      </x:c>
      <x:c r="J7" s="40" t="str">
        <x:v>Determining whether an EA is the right level of review</x:v>
      </x:c>
      <x:c r="K7" s="40" t="str">
        <x:v>Check major Federal action, discretion, exemptions, CE screen, EA/EIS choice, reliable data, and no unnecessary new research</x:v>
      </x:c>
      <x:c r="L7" s="41" t="str">
        <x:v>Current level-of-review authority</x:v>
      </x:c>
    </x:row>
    <x:row r="8" ht="60" customHeight="1">
      <x:c r="A8" s="39" t="str">
        <x:v>R1EA-004</x:v>
      </x:c>
      <x:c r="B8" s="40" t="str">
        <x:v>Ingest</x:v>
      </x:c>
      <x:c r="C8" s="40" t="str">
        <x:v>Baseline</x:v>
      </x:c>
      <x:c r="D8" s="40" t="str">
        <x:v>NEPA statute</x:v>
      </x:c>
      <x:c r="E8" s="40" t="str">
        <x:v>42 U.S.C. § 4336a - Timely and unified Federal reviews</x:v>
      </x:c>
      <x:c r="F8" s="40" t="str">
        <x:v>https://uscode.house.gov/view.xhtml?req=(title:42%20section:4336a%20edition:prelim)</x:v>
      </x:c>
      <x:c r="G8" s="40" t="str">
        <x:v>Congress</x:v>
      </x:c>
      <x:c r="H8" s="40" t="str">
        <x:v>Statute section</x:v>
      </x:c>
      <x:c r="I8" s="40" t="str">
        <x:v>All Region 1 EAs</x:v>
      </x:c>
      <x:c r="J8" s="40" t="str">
        <x:v>EA deadline/page-limit and unified review requirements</x:v>
      </x:c>
      <x:c r="K8" s="40" t="str">
        <x:v>Check one-year EA deadline tracking, page-limit certification, schedule, and unified document approach where practicable</x:v>
      </x:c>
      <x:c r="L8" s="41" t="str">
        <x:v>Current statutory review-management authority</x:v>
      </x:c>
    </x:row>
    <x:row r="9" ht="60" customHeight="1">
      <x:c r="A9" s="39" t="str">
        <x:v>R1EA-005</x:v>
      </x:c>
      <x:c r="B9" s="40" t="str">
        <x:v>Ingest</x:v>
      </x:c>
      <x:c r="C9" s="40" t="str">
        <x:v>Conditional</x:v>
      </x:c>
      <x:c r="D9" s="40" t="str">
        <x:v>NEPA statute</x:v>
      </x:c>
      <x:c r="E9" s="40" t="str">
        <x:v>42 U.S.C. § 4336b - Programmatic environmental documents</x:v>
      </x:c>
      <x:c r="F9" s="40" t="str">
        <x:v>https://uscode.house.gov/view.xhtml?req=(title:42%20section:4336b%20edition:prelim)</x:v>
      </x:c>
      <x:c r="G9" s="40" t="str">
        <x:v>Congress</x:v>
      </x:c>
      <x:c r="H9" s="40" t="str">
        <x:v>Statute section</x:v>
      </x:c>
      <x:c r="I9" s="40" t="str">
        <x:v>Region 1 EAs using programmatic/tiered analysis</x:v>
      </x:c>
      <x:c r="J9" s="40" t="str">
        <x:v>EA tiers to or relies on programmatic NEPA document</x:v>
      </x:c>
      <x:c r="K9" s="40" t="str">
        <x:v>Check age of programmatic review, reevaluation if older than 5 years, and substantial new circumstances/information</x:v>
      </x:c>
      <x:c r="L9" s="41" t="str">
        <x:v>Conditional for tiering/programmatic use</x:v>
      </x:c>
    </x:row>
    <x:row r="10" ht="60" customHeight="1">
      <x:c r="A10" s="39" t="str">
        <x:v>R1EA-006</x:v>
      </x:c>
      <x:c r="B10" s="40" t="str">
        <x:v>Ingest</x:v>
      </x:c>
      <x:c r="C10" s="40" t="str">
        <x:v>Conditional</x:v>
      </x:c>
      <x:c r="D10" s="40" t="str">
        <x:v>NEPA statute</x:v>
      </x:c>
      <x:c r="E10" s="40" t="str">
        <x:v>42 U.S.C. § 4336c - Adoption of categorical exclusions</x:v>
      </x:c>
      <x:c r="F10" s="40" t="str">
        <x:v>https://uscode.house.gov/view.xhtml?req=(title:42%20section:4336c%20edition:prelim)</x:v>
      </x:c>
      <x:c r="G10" s="40" t="str">
        <x:v>Congress</x:v>
      </x:c>
      <x:c r="H10" s="40" t="str">
        <x:v>Statute section</x:v>
      </x:c>
      <x:c r="I10" s="40" t="str">
        <x:v>Level-of-review screen before EA</x:v>
      </x:c>
      <x:c r="J10" s="40" t="str">
        <x:v>Another agency CE considered and rejected/adopted</x:v>
      </x:c>
      <x:c r="K10" s="40" t="str">
        <x:v>Check CE-adoption pathway and ensure EA explains why CE did not apply if relevant</x:v>
      </x:c>
      <x:c r="L10" s="41" t="str">
        <x:v>Conditional, not an EA content requirement by itself</x:v>
      </x:c>
    </x:row>
    <x:row r="11" ht="60" customHeight="1">
      <x:c r="A11" s="39" t="str">
        <x:v>R1EA-007</x:v>
      </x:c>
      <x:c r="B11" s="40" t="str">
        <x:v>Ingest</x:v>
      </x:c>
      <x:c r="C11" s="40" t="str">
        <x:v>Conditional</x:v>
      </x:c>
      <x:c r="D11" s="40" t="str">
        <x:v>NEPA statute</x:v>
      </x:c>
      <x:c r="E11" s="40" t="str">
        <x:v>42 U.S.C. § 4336f - Sponsor-prepared environmental documents</x:v>
      </x:c>
      <x:c r="F11" s="40" t="str">
        <x:v>https://uscode.house.gov/view.xhtml?req=(title:42%20section:4336f%20edition:prelim)</x:v>
      </x:c>
      <x:c r="G11" s="40" t="str">
        <x:v>Congress</x:v>
      </x:c>
      <x:c r="H11" s="40" t="str">
        <x:v>Statute section</x:v>
      </x:c>
      <x:c r="I11" s="40" t="str">
        <x:v>Applicant/sponsor-driven Region 1 EAs</x:v>
      </x:c>
      <x:c r="J11" s="40" t="str">
        <x:v>Project sponsor/applicant prepares or funds EA support material</x:v>
      </x:c>
      <x:c r="K11" s="40" t="str">
        <x:v>Check independence, financial-interest disclosure, schedule, and agency responsibility</x:v>
      </x:c>
      <x:c r="L11" s="41" t="str">
        <x:v>Use with 7 CFR § 1b.10</x:v>
      </x:c>
    </x:row>
    <x:row r="12" ht="60" customHeight="1">
      <x:c r="A12" s="39" t="str">
        <x:v>R1EA-008</x:v>
      </x:c>
      <x:c r="B12" s="40" t="str">
        <x:v>Ingest</x:v>
      </x:c>
      <x:c r="C12" s="40" t="str">
        <x:v>Baseline</x:v>
      </x:c>
      <x:c r="D12" s="40" t="str">
        <x:v>USDA NEPA regulation</x:v>
      </x:c>
      <x:c r="E12" s="40" t="str">
        <x:v>7 CFR part 1b - National Environment Policy Act</x:v>
      </x:c>
      <x:c r="F12" s="40" t="str">
        <x:v>https://www.ecfr.gov/current/title-7/subtitle-A/part-1b</x:v>
      </x:c>
      <x:c r="G12" s="40" t="str">
        <x:v>USDA Office of the Secretary</x:v>
      </x:c>
      <x:c r="H12" s="40" t="str">
        <x:v>Regulation</x:v>
      </x:c>
      <x:c r="I12" s="40" t="str">
        <x:v>All Region 1 EAs</x:v>
      </x:c>
      <x:c r="J12" s="40" t="str">
        <x:v>Current USDA/Forest Service NEPA procedures</x:v>
      </x:c>
      <x:c r="K12" s="40" t="str">
        <x:v>Use as controlling USDA NEPA regulation; check threshold, level, EA, FONSI, efficient review, applicant docs, definitions</x:v>
      </x:c>
      <x:c r="L12" s="41" t="str">
        <x:v>Effective Apr. 3, 2026</x:v>
      </x:c>
    </x:row>
    <x:row r="13" ht="60" customHeight="1">
      <x:c r="A13" s="39" t="str">
        <x:v>R1EA-009</x:v>
      </x:c>
      <x:c r="B13" s="40" t="str">
        <x:v>Ingest</x:v>
      </x:c>
      <x:c r="C13" s="40" t="str">
        <x:v>Baseline</x:v>
      </x:c>
      <x:c r="D13" s="40" t="str">
        <x:v>USDA NEPA regulation</x:v>
      </x:c>
      <x:c r="E13" s="40" t="str">
        <x:v>7 CFR § 1b.1 - Purpose</x:v>
      </x:c>
      <x:c r="F13" s="40" t="str">
        <x:v>https://www.ecfr.gov/current/title-7/subtitle-A/part-1b/section-1b.1</x:v>
      </x:c>
      <x:c r="G13" s="40" t="str">
        <x:v>USDA Office of the Secretary</x:v>
      </x:c>
      <x:c r="H13" s="40" t="str">
        <x:v>Regulation section</x:v>
      </x:c>
      <x:c r="I13" s="40" t="str">
        <x:v>All Region 1 EAs</x:v>
      </x:c>
      <x:c r="J13" s="40" t="str">
        <x:v>USDA NEPA implementation</x:v>
      </x:c>
      <x:c r="K13" s="40" t="str">
        <x:v>Check the EA integrates NEPA into decision-making and uses coordinated, consistent, predictable, timely review practices</x:v>
      </x:c>
      <x:c r="L13" s="41" t="str">
        <x:v>Current section</x:v>
      </x:c>
    </x:row>
    <x:row r="14" ht="60" customHeight="1">
      <x:c r="A14" s="39" t="str">
        <x:v>R1EA-010</x:v>
      </x:c>
      <x:c r="B14" s="40" t="str">
        <x:v>Ingest</x:v>
      </x:c>
      <x:c r="C14" s="40" t="str">
        <x:v>Baseline</x:v>
      </x:c>
      <x:c r="D14" s="40" t="str">
        <x:v>USDA NEPA regulation</x:v>
      </x:c>
      <x:c r="E14" s="40" t="str">
        <x:v>7 CFR § 1b.2 - Policy</x:v>
      </x:c>
      <x:c r="F14" s="40" t="str">
        <x:v>https://www.ecfr.gov/current/title-7/subtitle-A/part-1b/section-1b.2</x:v>
      </x:c>
      <x:c r="G14" s="40" t="str">
        <x:v>USDA Office of the Secretary</x:v>
      </x:c>
      <x:c r="H14" s="40" t="str">
        <x:v>Regulation section</x:v>
      </x:c>
      <x:c r="I14" s="40" t="str">
        <x:v>All Region 1 EAs</x:v>
      </x:c>
      <x:c r="J14" s="40" t="str">
        <x:v>Threshold and level-of-review determinations</x:v>
      </x:c>
      <x:c r="K14" s="40" t="str">
        <x:v>Check project-at-hand focus, major Federal action, discretion, finality, statutory conflict/function, significance screen, integrated reviews, limitations during review</x:v>
      </x:c>
      <x:c r="L14" s="41" t="str">
        <x:v>Current section; core EA gatekeeping</x:v>
      </x:c>
    </x:row>
    <x:row r="15" ht="60" customHeight="1">
      <x:c r="A15" s="39" t="str">
        <x:v>R1EA-011</x:v>
      </x:c>
      <x:c r="B15" s="40" t="str">
        <x:v>Ingest</x:v>
      </x:c>
      <x:c r="C15" s="40" t="str">
        <x:v>Conditional</x:v>
      </x:c>
      <x:c r="D15" s="40" t="str">
        <x:v>USDA NEPA regulation</x:v>
      </x:c>
      <x:c r="E15" s="40" t="str">
        <x:v>7 CFR § 1b.3 - Categorical exclusions and FANEC</x:v>
      </x:c>
      <x:c r="F15" s="40" t="str">
        <x:v>https://www.ecfr.gov/current/title-7/subtitle-A/part-1b/section-1b.3</x:v>
      </x:c>
      <x:c r="G15" s="40" t="str">
        <x:v>USDA Office of the Secretary</x:v>
      </x:c>
      <x:c r="H15" s="40" t="str">
        <x:v>Regulation section</x:v>
      </x:c>
      <x:c r="I15" s="40" t="str">
        <x:v>Level-of-review screen before EA</x:v>
      </x:c>
      <x:c r="J15" s="40" t="str">
        <x:v>Possible CE, adopted CE, or established CE pathway</x:v>
      </x:c>
      <x:c r="K15" s="40" t="str">
        <x:v>Check that EA file documents CE/FANEC screen or reason CE did not resolve NEPA</x:v>
      </x:c>
      <x:c r="L15" s="41" t="str">
        <x:v>Conditional for EA validation</x:v>
      </x:c>
    </x:row>
    <x:row r="16" ht="60" customHeight="1">
      <x:c r="A16" s="39" t="str">
        <x:v>R1EA-012</x:v>
      </x:c>
      <x:c r="B16" s="40" t="str">
        <x:v>Ingest</x:v>
      </x:c>
      <x:c r="C16" s="40" t="str">
        <x:v>Conditional</x:v>
      </x:c>
      <x:c r="D16" s="40" t="str">
        <x:v>USDA NEPA regulation</x:v>
      </x:c>
      <x:c r="E16" s="40" t="str">
        <x:v>7 CFR § 1b.4 - USDA subcomponent categorical exclusions</x:v>
      </x:c>
      <x:c r="F16" s="40" t="str">
        <x:v>https://www.ecfr.gov/current/title-7/subtitle-A/part-1b/section-1b.4</x:v>
      </x:c>
      <x:c r="G16" s="40" t="str">
        <x:v>USDA Office of the Secretary</x:v>
      </x:c>
      <x:c r="H16" s="40" t="str">
        <x:v>Regulation section</x:v>
      </x:c>
      <x:c r="I16" s="40" t="str">
        <x:v>Level-of-review screen before EA</x:v>
      </x:c>
      <x:c r="J16" s="40" t="str">
        <x:v>Action fits or may fit USDA CE</x:v>
      </x:c>
      <x:c r="K16" s="40" t="str">
        <x:v>Check CE list and extraordinary circumstances; if EA selected, verify no applicable CE was available or used</x:v>
      </x:c>
      <x:c r="L16" s="41" t="str">
        <x:v>Conditional; not an EA-only document</x:v>
      </x:c>
    </x:row>
    <x:row r="17" ht="60" customHeight="1">
      <x:c r="A17" s="39" t="str">
        <x:v>R1EA-013</x:v>
      </x:c>
      <x:c r="B17" s="40" t="str">
        <x:v>Ingest</x:v>
      </x:c>
      <x:c r="C17" s="40" t="str">
        <x:v>Baseline</x:v>
      </x:c>
      <x:c r="D17" s="40" t="str">
        <x:v>USDA NEPA regulation</x:v>
      </x:c>
      <x:c r="E17" s="40" t="str">
        <x:v>7 CFR § 1b.5 - Environmental assessments</x:v>
      </x:c>
      <x:c r="F17" s="40" t="str">
        <x:v>https://www.ecfr.gov/current/title-7/subtitle-A/part-1b/section-1b.5</x:v>
      </x:c>
      <x:c r="G17" s="40" t="str">
        <x:v>USDA Office of the Secretary</x:v>
      </x:c>
      <x:c r="H17" s="40" t="str">
        <x:v>Regulation section</x:v>
      </x:c>
      <x:c r="I17" s="40" t="str">
        <x:v>All Region 1 EAs</x:v>
      </x:c>
      <x:c r="J17" s="40" t="str">
        <x:v>Preparation of an EA</x:v>
      </x:c>
      <x:c r="K17" s="40" t="str">
        <x:v>Check EA content: purpose/need, alternatives if required, affected environment/effects, consultations, other environmental laws, page/time certification</x:v>
      </x:c>
      <x:c r="L17" s="41" t="str">
        <x:v>Primary EA content rule</x:v>
      </x:c>
    </x:row>
    <x:row r="18" ht="60" customHeight="1">
      <x:c r="A18" s="39" t="str">
        <x:v>R1EA-014</x:v>
      </x:c>
      <x:c r="B18" s="40" t="str">
        <x:v>Ingest</x:v>
      </x:c>
      <x:c r="C18" s="40" t="str">
        <x:v>Baseline</x:v>
      </x:c>
      <x:c r="D18" s="40" t="str">
        <x:v>USDA NEPA regulation</x:v>
      </x:c>
      <x:c r="E18" s="40" t="str">
        <x:v>7 CFR § 1b.6 - Finding of no significant impact</x:v>
      </x:c>
      <x:c r="F18" s="40" t="str">
        <x:v>https://www.ecfr.gov/current/title-7/subtitle-A/part-1b/section-1b.6</x:v>
      </x:c>
      <x:c r="G18" s="40" t="str">
        <x:v>USDA Office of the Secretary</x:v>
      </x:c>
      <x:c r="H18" s="40" t="str">
        <x:v>Regulation section</x:v>
      </x:c>
      <x:c r="I18" s="40" t="str">
        <x:v>All Region 1 EAs ending in FONSI</x:v>
      </x:c>
      <x:c r="J18" s="40" t="str">
        <x:v>FONSI/Decision Notice supported by EA</x:v>
      </x:c>
      <x:c r="K18" s="40" t="str">
        <x:v>Check FONSI basis, mitigation/design features, significance rationale, and decision relationship</x:v>
      </x:c>
      <x:c r="L18" s="41" t="str">
        <x:v>Primary FONSI rule</x:v>
      </x:c>
    </x:row>
    <x:row r="19" ht="60" customHeight="1">
      <x:c r="A19" s="39" t="str">
        <x:v>R1EA-015</x:v>
      </x:c>
      <x:c r="B19" s="40" t="str">
        <x:v>Ingest</x:v>
      </x:c>
      <x:c r="C19" s="40" t="str">
        <x:v>Baseline</x:v>
      </x:c>
      <x:c r="D19" s="40" t="str">
        <x:v>USDA NEPA regulation</x:v>
      </x:c>
      <x:c r="E19" s="40" t="str">
        <x:v>7 CFR § 1b.9 - Efficient and effective environmental reviews</x:v>
      </x:c>
      <x:c r="F19" s="40" t="str">
        <x:v>https://www.ecfr.gov/current/title-7/subtitle-A/part-1b/section-1b.9</x:v>
      </x:c>
      <x:c r="G19" s="40" t="str">
        <x:v>USDA Office of the Secretary</x:v>
      </x:c>
      <x:c r="H19" s="40" t="str">
        <x:v>Regulation section</x:v>
      </x:c>
      <x:c r="I19" s="40" t="str">
        <x:v>All Region 1 EAs</x:v>
      </x:c>
      <x:c r="J19" s="40" t="str">
        <x:v>Management of review process and emergency procedures</x:v>
      </x:c>
      <x:c r="K19" s="40" t="str">
        <x:v>Check schedules, scoping/public involvement as appropriate, cooperating agencies, programmatic reliance, supplementation, emergency arrangements</x:v>
      </x:c>
      <x:c r="L19" s="41" t="str">
        <x:v>Current procedural management rule</x:v>
      </x:c>
    </x:row>
    <x:row r="20" ht="60" customHeight="1">
      <x:c r="A20" s="39" t="str">
        <x:v>R1EA-016</x:v>
      </x:c>
      <x:c r="B20" s="40" t="str">
        <x:v>Ingest</x:v>
      </x:c>
      <x:c r="C20" s="40" t="str">
        <x:v>Conditional</x:v>
      </x:c>
      <x:c r="D20" s="40" t="str">
        <x:v>USDA NEPA regulation</x:v>
      </x:c>
      <x:c r="E20" s="40" t="str">
        <x:v>7 CFR § 1b.10 - Documentation prepared by applicant or third party</x:v>
      </x:c>
      <x:c r="F20" s="40" t="str">
        <x:v>https://www.ecfr.gov/current/title-7/subtitle-A/part-1b/section-1b.10</x:v>
      </x:c>
      <x:c r="G20" s="40" t="str">
        <x:v>USDA Office of the Secretary</x:v>
      </x:c>
      <x:c r="H20" s="40" t="str">
        <x:v>Regulation section</x:v>
      </x:c>
      <x:c r="I20" s="40" t="str">
        <x:v>Applicant/sponsor-driven EAs</x:v>
      </x:c>
      <x:c r="J20" s="40" t="str">
        <x:v>Applicant/contractor prepares EA or supporting documentation</x:v>
      </x:c>
      <x:c r="K20" s="40" t="str">
        <x:v>Check Forest Service independent evaluation, responsibility for content, financial disclosure, and project record</x:v>
      </x:c>
      <x:c r="L20" s="41" t="str">
        <x:v>Conditional but common for special uses/minerals</x:v>
      </x:c>
    </x:row>
    <x:row r="21" ht="60" customHeight="1">
      <x:c r="A21" s="39" t="str">
        <x:v>R1EA-017</x:v>
      </x:c>
      <x:c r="B21" s="40" t="str">
        <x:v>Ingest</x:v>
      </x:c>
      <x:c r="C21" s="40" t="str">
        <x:v>Baseline</x:v>
      </x:c>
      <x:c r="D21" s="40" t="str">
        <x:v>USDA NEPA regulation</x:v>
      </x:c>
      <x:c r="E21" s="40" t="str">
        <x:v>7 CFR § 1b.11 - Definitions and acronyms</x:v>
      </x:c>
      <x:c r="F21" s="40" t="str">
        <x:v>https://www.ecfr.gov/current/title-7/subtitle-A/part-1b/section-1b.11</x:v>
      </x:c>
      <x:c r="G21" s="40" t="str">
        <x:v>USDA Office of the Secretary</x:v>
      </x:c>
      <x:c r="H21" s="40" t="str">
        <x:v>Regulation section</x:v>
      </x:c>
      <x:c r="I21" s="40" t="str">
        <x:v>All Region 1 EAs</x:v>
      </x:c>
      <x:c r="J21" s="40" t="str">
        <x:v>Terminology used in EA review</x:v>
      </x:c>
      <x:c r="K21" s="40" t="str">
        <x:v>Normalize definitions and flag legacy CEQ terminology when used as mandatory legal standard</x:v>
      </x:c>
      <x:c r="L21" s="41" t="str">
        <x:v>Current definitions</x:v>
      </x:c>
    </x:row>
    <x:row r="22" ht="60" customHeight="1">
      <x:c r="A22" s="39" t="str">
        <x:v>R1EA-018</x:v>
      </x:c>
      <x:c r="B22" s="40" t="str">
        <x:v>Ingest</x:v>
      </x:c>
      <x:c r="C22" s="40" t="str">
        <x:v>Baseline</x:v>
      </x:c>
      <x:c r="D22" s="40" t="str">
        <x:v>USDA NEPA rulemaking</x:v>
      </x:c>
      <x:c r="E22" s="40" t="str">
        <x:v>USDA final rule: National Environmental Policy Act, 91 FR 17092, Apr. 3, 2026</x:v>
      </x:c>
      <x:c r="F22" s="40" t="str">
        <x:v>https://www.federalregister.gov/documents/2026/04/03/2026-06537/national-environmental-policy-act</x:v>
      </x:c>
      <x:c r="G22" s="40" t="str">
        <x:v>USDA</x:v>
      </x:c>
      <x:c r="H22" s="40" t="str">
        <x:v>Federal Register final rule</x:v>
      </x:c>
      <x:c r="I22" s="40" t="str">
        <x:v>All Region 1 EAs</x:v>
      </x:c>
      <x:c r="J22" s="40" t="str">
        <x:v>Current rulemaking context and transition</x:v>
      </x:c>
      <x:c r="K22" s="40" t="str">
        <x:v>Verify 7 CFR part 1b source, effective date, and removal of older agency-specific NEPA procedures</x:v>
      </x:c>
      <x:c r="L22" s="41" t="str">
        <x:v>Use for audit trail; eCFR controls current codified text</x:v>
      </x:c>
    </x:row>
    <x:row r="23" ht="60" customHeight="1">
      <x:c r="A23" s="39" t="str">
        <x:v>R1EA-019</x:v>
      </x:c>
      <x:c r="B23" s="40" t="str">
        <x:v>Ingest</x:v>
      </x:c>
      <x:c r="C23" s="40" t="str">
        <x:v>Baseline</x:v>
      </x:c>
      <x:c r="D23" s="40" t="str">
        <x:v>Forest Service NEPA policy page</x:v>
      </x:c>
      <x:c r="E23" s="40" t="str">
        <x:v>Forest Service Environmental Planning / NEPA page</x:v>
      </x:c>
      <x:c r="F23" s="40" t="str">
        <x:v>https://www.fs.usda.gov/about-agency/regulations-policies/nepa</x:v>
      </x:c>
      <x:c r="G23" s="40" t="str">
        <x:v>USDA Forest Service</x:v>
      </x:c>
      <x:c r="H23" s="40" t="str">
        <x:v>Agency policy page</x:v>
      </x:c>
      <x:c r="I23" s="40" t="str">
        <x:v>All Region 1 EAs</x:v>
      </x:c>
      <x:c r="J23" s="40" t="str">
        <x:v>Forest Service NEPA context and current USDA consolidation</x:v>
      </x:c>
      <x:c r="K23" s="40" t="str">
        <x:v>Check agency-level references to current USDA NEPA rule and avoid old 36 CFR part 220 reliance</x:v>
      </x:c>
      <x:c r="L23" s="41" t="str">
        <x:v>Current agency page</x:v>
      </x:c>
    </x:row>
    <x:row r="24" ht="60" customHeight="1">
      <x:c r="A24" s="39" t="str">
        <x:v>R1EA-020</x:v>
      </x:c>
      <x:c r="B24" s="40" t="str">
        <x:v>Ingest</x:v>
      </x:c>
      <x:c r="C24" s="40" t="str">
        <x:v>Baseline</x:v>
      </x:c>
      <x:c r="D24" s="40" t="str">
        <x:v>Judicial standard</x:v>
      </x:c>
      <x:c r="E24" s="40" t="str">
        <x:v>Seven County Infrastructure Coalition v. Eagle County, Supreme Court opinion</x:v>
      </x:c>
      <x:c r="F24" s="40" t="str">
        <x:v>https://www.supremecourt.gov/opinions/24pdf/23-975_m648.pdf</x:v>
      </x:c>
      <x:c r="G24" s="40" t="str">
        <x:v>U.S. Supreme Court</x:v>
      </x:c>
      <x:c r="H24" s="40" t="str">
        <x:v>Case law</x:v>
      </x:c>
      <x:c r="I24" s="40" t="str">
        <x:v>All Region 1 EAs</x:v>
      </x:c>
      <x:c r="J24" s="40" t="str">
        <x:v>Scope and causation review under NEPA</x:v>
      </x:c>
      <x:c r="K24" s="40" t="str">
        <x:v>Check project-at-hand focus, reasoned/manageable line, reasonably foreseeable effects, and agency discretion/deference</x:v>
      </x:c>
      <x:c r="L24" s="41" t="str">
        <x:v>Current controlling Supreme Court NEPA interpretation</x:v>
      </x:c>
    </x:row>
    <x:row r="25" ht="60" customHeight="1">
      <x:c r="A25" s="39" t="str">
        <x:v>R1EA-021</x:v>
      </x:c>
      <x:c r="B25" s="40" t="str">
        <x:v>Ingest</x:v>
      </x:c>
      <x:c r="C25" s="40" t="str">
        <x:v>Baseline</x:v>
      </x:c>
      <x:c r="D25" s="40" t="str">
        <x:v>Administrative law</x:v>
      </x:c>
      <x:c r="E25" s="40" t="str">
        <x:v>Administrative Procedure Act final agency action, 5 U.S.C. § 704</x:v>
      </x:c>
      <x:c r="F25" s="40" t="str">
        <x:v>https://uscode.house.gov/view.xhtml?req=(title:5%20section:704%20edition:prelim)</x:v>
      </x:c>
      <x:c r="G25" s="40" t="str">
        <x:v>Congress</x:v>
      </x:c>
      <x:c r="H25" s="40" t="str">
        <x:v>Statute section</x:v>
      </x:c>
      <x:c r="I25" s="40" t="str">
        <x:v>All Region 1 EAs</x:v>
      </x:c>
      <x:c r="J25" s="40" t="str">
        <x:v>NEPA threshold/finality and reviewability</x:v>
      </x:c>
      <x:c r="K25" s="40" t="str">
        <x:v>Check whether EA/DN/FONSI or related authorization is final agency action or requires additional finality mechanism</x:v>
      </x:c>
      <x:c r="L25" s="41" t="str">
        <x:v>Referenced in 7 CFR § 1b.2</x:v>
      </x:c>
    </x:row>
    <x:row r="26" ht="60" customHeight="1">
      <x:c r="A26" s="39" t="str">
        <x:v>R1EA-022</x:v>
      </x:c>
      <x:c r="B26" s="40" t="str">
        <x:v>Ingest</x:v>
      </x:c>
      <x:c r="C26" s="40" t="str">
        <x:v>Baseline</x:v>
      </x:c>
      <x:c r="D26" s="40" t="str">
        <x:v>Forest planning</x:v>
      </x:c>
      <x:c r="E26" s="40" t="str">
        <x:v>NFMA/RPA planning provision, 16 U.S.C. § 1604</x:v>
      </x:c>
      <x:c r="F26" s="40" t="str">
        <x:v>https://uscode.house.gov/view.xhtml?req=(title:16%20section:1604%20edition:prelim)</x:v>
      </x:c>
      <x:c r="G26" s="40" t="str">
        <x:v>Congress</x:v>
      </x:c>
      <x:c r="H26" s="40" t="str">
        <x:v>Statute section</x:v>
      </x:c>
      <x:c r="I26" s="40" t="str">
        <x:v>All Region 1 EAs</x:v>
      </x:c>
      <x:c r="J26" s="40" t="str">
        <x:v>Project/activity must be consistent with land management plan</x:v>
      </x:c>
      <x:c r="K26" s="40" t="str">
        <x:v>Check applicable forest/grassland plan, plan components, amendments, monitoring info, species-of-concern direction</x:v>
      </x:c>
      <x:c r="L26" s="41" t="str">
        <x:v>Core Forest Service overlay</x:v>
      </x:c>
    </x:row>
    <x:row r="27" ht="60" customHeight="1">
      <x:c r="A27" s="39" t="str">
        <x:v>R1EA-023</x:v>
      </x:c>
      <x:c r="B27" s="40" t="str">
        <x:v>Ingest</x:v>
      </x:c>
      <x:c r="C27" s="40" t="str">
        <x:v>Baseline</x:v>
      </x:c>
      <x:c r="D27" s="40" t="str">
        <x:v>Forest planning</x:v>
      </x:c>
      <x:c r="E27" s="40" t="str">
        <x:v>36 CFR part 219 - Planning</x:v>
      </x:c>
      <x:c r="F27" s="40" t="str">
        <x:v>https://www.ecfr.gov/current/title-36/chapter-II/part-219</x:v>
      </x:c>
      <x:c r="G27" s="40" t="str">
        <x:v>USDA Forest Service</x:v>
      </x:c>
      <x:c r="H27" s="40" t="str">
        <x:v>Regulation</x:v>
      </x:c>
      <x:c r="I27" s="40" t="str">
        <x:v>All Region 1 EAs</x:v>
      </x:c>
      <x:c r="J27" s="40" t="str">
        <x:v>Projects implementing land management plans</x:v>
      </x:c>
      <x:c r="K27" s="40" t="str">
        <x:v>Check planning rule status, plan components, project consistency, project-specific amendments, SCC where applicable</x:v>
      </x:c>
      <x:c r="L27" s="41" t="str">
        <x:v>Current planning regulation</x:v>
      </x:c>
    </x:row>
    <x:row r="28" ht="60" customHeight="1">
      <x:c r="A28" s="39" t="str">
        <x:v>R1EA-024</x:v>
      </x:c>
      <x:c r="B28" s="40" t="str">
        <x:v>Ingest</x:v>
      </x:c>
      <x:c r="C28" s="40" t="str">
        <x:v>Baseline</x:v>
      </x:c>
      <x:c r="D28" s="40" t="str">
        <x:v>Forest planning</x:v>
      </x:c>
      <x:c r="E28" s="40" t="str">
        <x:v>36 CFR § 219.15 - Project and activity consistency with the plan</x:v>
      </x:c>
      <x:c r="F28" s="40" t="str">
        <x:v>https://www.ecfr.gov/current/title-36/chapter-II/part-219/section-219.15</x:v>
      </x:c>
      <x:c r="G28" s="40" t="str">
        <x:v>USDA Forest Service</x:v>
      </x:c>
      <x:c r="H28" s="40" t="str">
        <x:v>Regulation section</x:v>
      </x:c>
      <x:c r="I28" s="40" t="str">
        <x:v>All Region 1 EAs</x:v>
      </x:c>
      <x:c r="J28" s="40" t="str">
        <x:v>Any project/activity authorized after plan approval</x:v>
      </x:c>
      <x:c r="K28" s="40" t="str">
        <x:v>Check consistency narrative with desired conditions, objectives, standards, guidelines, suitability, and plan amendment if needed</x:v>
      </x:c>
      <x:c r="L28" s="41" t="str">
        <x:v>Core EA check</x:v>
      </x:c>
    </x:row>
    <x:row r="29" ht="60" customHeight="1">
      <x:c r="A29" s="39" t="str">
        <x:v>R1EA-025</x:v>
      </x:c>
      <x:c r="B29" s="40" t="str">
        <x:v>Ingest</x:v>
      </x:c>
      <x:c r="C29" s="40" t="str">
        <x:v>Baseline</x:v>
      </x:c>
      <x:c r="D29" s="40" t="str">
        <x:v>Administrative review</x:v>
      </x:c>
      <x:c r="E29" s="40" t="str">
        <x:v>36 CFR part 218 - Project-level predecisional administrative review</x:v>
      </x:c>
      <x:c r="F29" s="40" t="str">
        <x:v>https://www.ecfr.gov/current/title-36/chapter-II/part-218</x:v>
      </x:c>
      <x:c r="G29" s="40" t="str">
        <x:v>USDA Forest Service</x:v>
      </x:c>
      <x:c r="H29" s="40" t="str">
        <x:v>Regulation</x:v>
      </x:c>
      <x:c r="I29" s="40" t="str">
        <x:v>Most Region 1 EAs with DN/FONSI</x:v>
      </x:c>
      <x:c r="J29" s="40" t="str">
        <x:v>Projects implementing land management plans documented with a decision notice and FONSI</x:v>
      </x:c>
      <x:c r="K29" s="40" t="str">
        <x:v>Check legal notice, comment/objection eligibility, objection period, objection resolution, emergency exception if any</x:v>
      </x:c>
      <x:c r="L29" s="41" t="str">
        <x:v>Current, though some text may contain old references</x:v>
      </x:c>
    </x:row>
    <x:row r="30" ht="60" customHeight="1">
      <x:c r="A30" s="39" t="str">
        <x:v>R1EA-026</x:v>
      </x:c>
      <x:c r="B30" s="40" t="str">
        <x:v>Ingest</x:v>
      </x:c>
      <x:c r="C30" s="40" t="str">
        <x:v>Conditional</x:v>
      </x:c>
      <x:c r="D30" s="40" t="str">
        <x:v>Administrative review</x:v>
      </x:c>
      <x:c r="E30" s="40" t="str">
        <x:v>36 CFR part 214 - Postdecisional administrative review for written instruments</x:v>
      </x:c>
      <x:c r="F30" s="40" t="str">
        <x:v>https://www.ecfr.gov/current/title-36/chapter-II/part-214</x:v>
      </x:c>
      <x:c r="G30" s="40" t="str">
        <x:v>USDA Forest Service</x:v>
      </x:c>
      <x:c r="H30" s="40" t="str">
        <x:v>Regulation</x:v>
      </x:c>
      <x:c r="I30" s="40" t="str">
        <x:v>Special uses, grazing, minerals, mineral materials, related authorizations</x:v>
      </x:c>
      <x:c r="J30" s="40" t="str">
        <x:v>EA decision also involves appealable written authorization</x:v>
      </x:c>
      <x:c r="K30" s="40" t="str">
        <x:v>Check appeal rights, exhaustion, effective date, and interaction with 36 CFR part 218</x:v>
      </x:c>
      <x:c r="L30" s="41" t="str">
        <x:v>Conditional</x:v>
      </x:c>
    </x:row>
    <x:row r="31" ht="60" customHeight="1">
      <x:c r="A31" s="39" t="str">
        <x:v>R1EA-027</x:v>
      </x:c>
      <x:c r="B31" s="40" t="str">
        <x:v>Ingest</x:v>
      </x:c>
      <x:c r="C31" s="40" t="str">
        <x:v>Conditional</x:v>
      </x:c>
      <x:c r="D31" s="40" t="str">
        <x:v>Administrative review</x:v>
      </x:c>
      <x:c r="E31" s="40" t="str">
        <x:v>36 CFR part 216 - Notice and comment for Forest Service directives</x:v>
      </x:c>
      <x:c r="F31" s="40" t="str">
        <x:v>https://www.ecfr.gov/current/title-36/chapter-II/part-216</x:v>
      </x:c>
      <x:c r="G31" s="40" t="str">
        <x:v>USDA Forest Service</x:v>
      </x:c>
      <x:c r="H31" s="40" t="str">
        <x:v>Regulation</x:v>
      </x:c>
      <x:c r="I31" s="40" t="str">
        <x:v>Directive-level actions or directives used as standards</x:v>
      </x:c>
      <x:c r="J31" s="40" t="str">
        <x:v>Forest Service directive establishes standards, criteria, or guidelines</x:v>
      </x:c>
      <x:c r="K31" s="40" t="str">
        <x:v>Check whether directive notice/comment is implicated; not typical for site-specific EA</x:v>
      </x:c>
      <x:c r="L31" s="41" t="str">
        <x:v>Conditional</x:v>
      </x:c>
    </x:row>
    <x:row r="32" ht="60" customHeight="1">
      <x:c r="A32" s="39" t="str">
        <x:v>R1EA-028</x:v>
      </x:c>
      <x:c r="B32" s="40" t="str">
        <x:v>Ingest</x:v>
      </x:c>
      <x:c r="C32" s="40" t="str">
        <x:v>Baseline</x:v>
      </x:c>
      <x:c r="D32" s="40" t="str">
        <x:v>Forest Service directives</x:v>
      </x:c>
      <x:c r="E32" s="40" t="str">
        <x:v>Forest Service National Directives portal</x:v>
      </x:c>
      <x:c r="F32" s="40" t="str">
        <x:v>https://www.fs.usda.gov/im/directives/</x:v>
      </x:c>
      <x:c r="G32" s="40" t="str">
        <x:v>USDA Forest Service</x:v>
      </x:c>
      <x:c r="H32" s="40" t="str">
        <x:v>Directive portal</x:v>
      </x:c>
      <x:c r="I32" s="40" t="str">
        <x:v>All Region 1 EAs</x:v>
      </x:c>
      <x:c r="J32" s="40" t="str">
        <x:v>Current manuals/handbooks/directives used by ID team</x:v>
      </x:c>
      <x:c r="K32" s="40" t="str">
        <x:v>Check cited directives against current national and Region 1 supplements; avoid superseded text</x:v>
      </x:c>
      <x:c r="L32" s="41" t="str">
        <x:v>Portal source; not a single substantive standard</x:v>
      </x:c>
    </x:row>
    <x:row r="33" ht="60" customHeight="1">
      <x:c r="A33" s="39" t="str">
        <x:v>R1EA-029</x:v>
      </x:c>
      <x:c r="B33" s="40" t="str">
        <x:v>Ingest</x:v>
      </x:c>
      <x:c r="C33" s="40" t="str">
        <x:v>Baseline</x:v>
      </x:c>
      <x:c r="D33" s="40" t="str">
        <x:v>Region 1 directives</x:v>
      </x:c>
      <x:c r="E33" s="40" t="str">
        <x:v>Forest Service Region 1 field directives index</x:v>
      </x:c>
      <x:c r="F33" s="40" t="str">
        <x:v>https://www.fs.usda.gov/cgi-bin/Directives/get_dirs/fsm?title=field/r1</x:v>
      </x:c>
      <x:c r="G33" s="40" t="str">
        <x:v>USDA Forest Service Region 1</x:v>
      </x:c>
      <x:c r="H33" s="40" t="str">
        <x:v>Directive index</x:v>
      </x:c>
      <x:c r="I33" s="40" t="str">
        <x:v>All Region 1 EAs</x:v>
      </x:c>
      <x:c r="J33" s="40" t="str">
        <x:v>Region 1 supplements used in resource analysis</x:v>
      </x:c>
      <x:c r="K33" s="40" t="str">
        <x:v>Check cited R1 supplements; regional issuance may be more restrictive but not expand/relax national restrictions</x:v>
      </x:c>
      <x:c r="L33" s="41" t="str">
        <x:v>Use current field index</x:v>
      </x:c>
    </x:row>
    <x:row r="34" ht="60" customHeight="1">
      <x:c r="A34" s="39" t="str">
        <x:v>R1EA-030</x:v>
      </x:c>
      <x:c r="B34" s="40" t="str">
        <x:v>Ingest</x:v>
      </x:c>
      <x:c r="C34" s="40" t="str">
        <x:v>Conditional</x:v>
      </x:c>
      <x:c r="D34" s="40" t="str">
        <x:v>Region 1 directives</x:v>
      </x:c>
      <x:c r="E34" s="40" t="str">
        <x:v>Region 1 FSM 2550 Soil Management supplement</x:v>
      </x:c>
      <x:c r="F34" s="40" t="str">
        <x:v>https://www.fs.usda.gov/im/directives/field/r1/fsm/2500/r1-2550.docx</x:v>
      </x:c>
      <x:c r="G34" s="40" t="str">
        <x:v>USDA Forest Service Region 1</x:v>
      </x:c>
      <x:c r="H34" s="40" t="str">
        <x:v>Regional directive</x:v>
      </x:c>
      <x:c r="I34" s="40" t="str">
        <x:v>Region 1 EAs with soil disturbance, vegetation, roads, grazing, minerals, fire, restoration</x:v>
      </x:c>
      <x:c r="J34" s="40" t="str">
        <x:v>Ground-disturbing action or soil productivity issue</x:v>
      </x:c>
      <x:c r="K34" s="40" t="str">
        <x:v>Check soil quality/soil productivity analysis, detrimental soil disturbance, restoration/design features, monitoring commitments</x:v>
      </x:c>
      <x:c r="L34" s="41" t="str">
        <x:v>Conditional but often triggered</x:v>
      </x:c>
    </x:row>
    <x:row r="35" ht="60" customHeight="1">
      <x:c r="A35" s="39" t="str">
        <x:v>R1EA-031</x:v>
      </x:c>
      <x:c r="B35" s="40" t="str">
        <x:v>Ingest</x:v>
      </x:c>
      <x:c r="C35" s="40" t="str">
        <x:v>Baseline</x:v>
      </x:c>
      <x:c r="D35" s="40" t="str">
        <x:v>Forest Service directives</x:v>
      </x:c>
      <x:c r="E35" s="40" t="str">
        <x:v>FSM 2670 - Threatened, Endangered and Sensitive Plants and Animals</x:v>
      </x:c>
      <x:c r="F35" s="40" t="str">
        <x:v>https://www.fs.usda.gov/about-agency/regulations-policies/manual/2670-threatened-endangered-and-sensitive-plants-and</x:v>
      </x:c>
      <x:c r="G35" s="40" t="str">
        <x:v>USDA Forest Service</x:v>
      </x:c>
      <x:c r="H35" s="40" t="str">
        <x:v>Manual chapter</x:v>
      </x:c>
      <x:c r="I35" s="40" t="str">
        <x:v>All Region 1 EAs with biological resources</x:v>
      </x:c>
      <x:c r="J35" s="40" t="str">
        <x:v>Sensitive species and listed species policy</x:v>
      </x:c>
      <x:c r="K35" s="40" t="str">
        <x:v>Check biological evaluation/assessment, Regional Forester sensitive species, listed species coordination, documentation of determinations</x:v>
      </x:c>
      <x:c r="L35" s="41" t="str">
        <x:v>Use with R1 species lists/SCC</x:v>
      </x:c>
    </x:row>
    <x:row r="36" ht="60" customHeight="1">
      <x:c r="A36" s="39" t="str">
        <x:v>R1EA-032</x:v>
      </x:c>
      <x:c r="B36" s="40" t="str">
        <x:v>Ingest</x:v>
      </x:c>
      <x:c r="C36" s="40" t="str">
        <x:v>Conditional</x:v>
      </x:c>
      <x:c r="D36" s="40" t="str">
        <x:v>Forest Service directives</x:v>
      </x:c>
      <x:c r="E36" s="40" t="str">
        <x:v>FSH 1909.12 - Land Management Planning Handbook</x:v>
      </x:c>
      <x:c r="F36" s="40" t="str">
        <x:v>https://www.fs.usda.gov/about-agency/regulations-policies/handbooks/190912</x:v>
      </x:c>
      <x:c r="G36" s="40" t="str">
        <x:v>USDA Forest Service</x:v>
      </x:c>
      <x:c r="H36" s="40" t="str">
        <x:v>Handbook</x:v>
      </x:c>
      <x:c r="I36" s="40" t="str">
        <x:v>EAs involving project-specific plan amendment</x:v>
      </x:c>
      <x:c r="J36" s="40" t="str">
        <x:v>Site-specific plan amendment accompanies EA</x:v>
      </x:c>
      <x:c r="K36" s="40" t="str">
        <x:v>Check amendment type, responsible official, public notice, plan-component modification, BASI/SCC requirements</x:v>
      </x:c>
      <x:c r="L36" s="41" t="str">
        <x:v>Conditional; not general EA NEPA procedure</x:v>
      </x:c>
    </x:row>
    <x:row r="37" ht="60" customHeight="1">
      <x:c r="A37" s="39" t="str">
        <x:v>R1EA-033</x:v>
      </x:c>
      <x:c r="B37" s="40" t="str">
        <x:v>Ingest</x:v>
      </x:c>
      <x:c r="C37" s="40" t="str">
        <x:v>Baseline</x:v>
      </x:c>
      <x:c r="D37" s="40" t="str">
        <x:v>Organic authority</x:v>
      </x:c>
      <x:c r="E37" s="40" t="str">
        <x:v>Multiple-Use Sustained-Yield Act, 16 U.S.C. §§ 528-531</x:v>
      </x:c>
      <x:c r="F37" s="40" t="str">
        <x:v>https://uscode.house.gov/view.xhtml?path=/prelim@title16/chapter2C&amp;edition=prelim</x:v>
      </x:c>
      <x:c r="G37" s="40" t="str">
        <x:v>Congress</x:v>
      </x:c>
      <x:c r="H37" s="40" t="str">
        <x:v>Statute</x:v>
      </x:c>
      <x:c r="I37" s="40" t="str">
        <x:v>All Region 1 EAs</x:v>
      </x:c>
      <x:c r="J37" s="40" t="str">
        <x:v>National forest multiple-use/sustained-yield decision context</x:v>
      </x:c>
      <x:c r="K37" s="40" t="str">
        <x:v>Check purpose/need and alternatives are consistent with outdoor recreation, range, timber, watershed, wildlife/fish, wilderness, and plan direction</x:v>
      </x:c>
      <x:c r="L37" s="41" t="str">
        <x:v>Core Forest Service authority</x:v>
      </x:c>
    </x:row>
    <x:row r="38" ht="60" customHeight="1">
      <x:c r="A38" s="39" t="str">
        <x:v>R1EA-034</x:v>
      </x:c>
      <x:c r="B38" s="40" t="str">
        <x:v>Ingest</x:v>
      </x:c>
      <x:c r="C38" s="40" t="str">
        <x:v>Baseline</x:v>
      </x:c>
      <x:c r="D38" s="40" t="str">
        <x:v>Organic authority</x:v>
      </x:c>
      <x:c r="E38" s="40" t="str">
        <x:v>Organic Administration Act, 16 U.S.C. § 475</x:v>
      </x:c>
      <x:c r="F38" s="40" t="str">
        <x:v>https://uscode.house.gov/view.xhtml?req=(title:16%20section:475%20edition:prelim)</x:v>
      </x:c>
      <x:c r="G38" s="40" t="str">
        <x:v>Congress</x:v>
      </x:c>
      <x:c r="H38" s="40" t="str">
        <x:v>Statute section</x:v>
      </x:c>
      <x:c r="I38" s="40" t="str">
        <x:v>All Region 1 EAs</x:v>
      </x:c>
      <x:c r="J38" s="40" t="str">
        <x:v>National forest purposes</x:v>
      </x:c>
      <x:c r="K38" s="40" t="str">
        <x:v>Check watershed protection, timber supply, national forest purposes, and project authority</x:v>
      </x:c>
      <x:c r="L38" s="41" t="str">
        <x:v>Core Forest Service authority</x:v>
      </x:c>
    </x:row>
    <x:row r="39" ht="60" customHeight="1">
      <x:c r="A39" s="39" t="str">
        <x:v>R1EA-035</x:v>
      </x:c>
      <x:c r="B39" s="40" t="str">
        <x:v>Ingest</x:v>
      </x:c>
      <x:c r="C39" s="40" t="str">
        <x:v>Baseline</x:v>
      </x:c>
      <x:c r="D39" s="40" t="str">
        <x:v>Organic authority</x:v>
      </x:c>
      <x:c r="E39" s="40" t="str">
        <x:v>Organic Administration Act, 16 U.S.C. § 551</x:v>
      </x:c>
      <x:c r="F39" s="40" t="str">
        <x:v>https://uscode.house.gov/view.xhtml?req=(title:16%20section:551%20edition:prelim)</x:v>
      </x:c>
      <x:c r="G39" s="40" t="str">
        <x:v>Congress</x:v>
      </x:c>
      <x:c r="H39" s="40" t="str">
        <x:v>Statute section</x:v>
      </x:c>
      <x:c r="I39" s="40" t="str">
        <x:v>All Region 1 EAs</x:v>
      </x:c>
      <x:c r="J39" s="40" t="str">
        <x:v>Rules, occupancy/use regulation, protection of national forests</x:v>
      </x:c>
      <x:c r="K39" s="40" t="str">
        <x:v>Check use restrictions, closure orders, special uses, and protection authority</x:v>
      </x:c>
      <x:c r="L39" s="41" t="str">
        <x:v>Core Forest Service authority</x:v>
      </x:c>
    </x:row>
    <x:row r="40" ht="60" customHeight="1">
      <x:c r="A40" s="39" t="str">
        <x:v>R1EA-036</x:v>
      </x:c>
      <x:c r="B40" s="40" t="str">
        <x:v>Ingest</x:v>
      </x:c>
      <x:c r="C40" s="40" t="str">
        <x:v>Conditional</x:v>
      </x:c>
      <x:c r="D40" s="40" t="str">
        <x:v>Action-type regulation</x:v>
      </x:c>
      <x:c r="E40" s="40" t="str">
        <x:v>36 CFR part 212 - Travel management</x:v>
      </x:c>
      <x:c r="F40" s="40" t="str">
        <x:v>https://www.ecfr.gov/current/title-36/chapter-II/part-212</x:v>
      </x:c>
      <x:c r="G40" s="40" t="str">
        <x:v>USDA Forest Service</x:v>
      </x:c>
      <x:c r="H40" s="40" t="str">
        <x:v>Regulation</x:v>
      </x:c>
      <x:c r="I40" s="40" t="str">
        <x:v>Roads, trails, motorized access, travel designation EAs</x:v>
      </x:c>
      <x:c r="J40" s="40" t="str">
        <x:v>EA changes roads/trails/areas or motor vehicle designations</x:v>
      </x:c>
      <x:c r="K40" s="40" t="str">
        <x:v>Check designation criteria, coordination, MVUM consistency, resource effects, access, safety, and maintenance</x:v>
      </x:c>
      <x:c r="L40" s="41" t="str">
        <x:v>Conditional</x:v>
      </x:c>
    </x:row>
    <x:row r="41" ht="60" customHeight="1">
      <x:c r="A41" s="39" t="str">
        <x:v>R1EA-037</x:v>
      </x:c>
      <x:c r="B41" s="40" t="str">
        <x:v>Ingest</x:v>
      </x:c>
      <x:c r="C41" s="40" t="str">
        <x:v>Conditional</x:v>
      </x:c>
      <x:c r="D41" s="40" t="str">
        <x:v>Action-type regulation</x:v>
      </x:c>
      <x:c r="E41" s="40" t="str">
        <x:v>36 CFR part 213 - Administration under Bankhead-Jones Farm Tenant Act</x:v>
      </x:c>
      <x:c r="F41" s="40" t="str">
        <x:v>https://www.ecfr.gov/current/title-36/chapter-II/part-213</x:v>
      </x:c>
      <x:c r="G41" s="40" t="str">
        <x:v>USDA Forest Service</x:v>
      </x:c>
      <x:c r="H41" s="40" t="str">
        <x:v>Regulation</x:v>
      </x:c>
      <x:c r="I41" s="40" t="str">
        <x:v>Dakota Prairie Grasslands EAs</x:v>
      </x:c>
      <x:c r="J41" s="40" t="str">
        <x:v>EA on National Grassland lands administered under Bankhead-Jones Act</x:v>
      </x:c>
      <x:c r="K41" s="40" t="str">
        <x:v>Check National Grassland status, soil/vegetative cover purpose, land-use consistency, and grassland plan direction</x:v>
      </x:c>
      <x:c r="L41" s="41" t="str">
        <x:v>Applies to DPG units in ND/SD</x:v>
      </x:c>
    </x:row>
    <x:row r="42" ht="60" customHeight="1">
      <x:c r="A42" s="39" t="str">
        <x:v>R1EA-038</x:v>
      </x:c>
      <x:c r="B42" s="40" t="str">
        <x:v>Ingest</x:v>
      </x:c>
      <x:c r="C42" s="40" t="str">
        <x:v>Conditional</x:v>
      </x:c>
      <x:c r="D42" s="40" t="str">
        <x:v>Action-type statute</x:v>
      </x:c>
      <x:c r="E42" s="40" t="str">
        <x:v>Bankhead-Jones Farm Tenant Act land conservation authority, 7 U.S.C. § 1010</x:v>
      </x:c>
      <x:c r="F42" s="40" t="str">
        <x:v>https://uscode.house.gov/view.xhtml?req=(title:7%20section:1010%20edition:prelim)</x:v>
      </x:c>
      <x:c r="G42" s="40" t="str">
        <x:v>Congress</x:v>
      </x:c>
      <x:c r="H42" s="40" t="str">
        <x:v>Statute section</x:v>
      </x:c>
      <x:c r="I42" s="40" t="str">
        <x:v>Dakota Prairie Grasslands EAs</x:v>
      </x:c>
      <x:c r="J42" s="40" t="str">
        <x:v>EA on National Grassland lands acquired/administered under Bankhead-Jones</x:v>
      </x:c>
      <x:c r="K42" s="40" t="str">
        <x:v>Check land conservation, use, sale/exchange/lease/permit, and grassland purposes</x:v>
      </x:c>
      <x:c r="L42" s="41" t="str">
        <x:v>DPG-specific overlay</x:v>
      </x:c>
    </x:row>
    <x:row r="43" ht="60" customHeight="1">
      <x:c r="A43" s="39" t="str">
        <x:v>R1EA-039</x:v>
      </x:c>
      <x:c r="B43" s="40" t="str">
        <x:v>Ingest</x:v>
      </x:c>
      <x:c r="C43" s="40" t="str">
        <x:v>Conditional</x:v>
      </x:c>
      <x:c r="D43" s="40" t="str">
        <x:v>Action-type regulation</x:v>
      </x:c>
      <x:c r="E43" s="40" t="str">
        <x:v>36 CFR part 222 - Range management</x:v>
      </x:c>
      <x:c r="F43" s="40" t="str">
        <x:v>https://www.ecfr.gov/current/title-36/chapter-II/part-222</x:v>
      </x:c>
      <x:c r="G43" s="40" t="str">
        <x:v>USDA Forest Service</x:v>
      </x:c>
      <x:c r="H43" s="40" t="str">
        <x:v>Regulation</x:v>
      </x:c>
      <x:c r="I43" s="40" t="str">
        <x:v>Grazing/allotment EAs</x:v>
      </x:c>
      <x:c r="J43" s="40" t="str">
        <x:v>Allotment management plans, grazing permits, range improvements</x:v>
      </x:c>
      <x:c r="K43" s="40" t="str">
        <x:v>Check permit/allotment authority, grazing systems, monitoring, range improvements, plan consistency, ESA/NHPA/CWA integration</x:v>
      </x:c>
      <x:c r="L43" s="41" t="str">
        <x:v>Conditional</x:v>
      </x:c>
    </x:row>
    <x:row r="44" ht="60" customHeight="1">
      <x:c r="A44" s="39" t="str">
        <x:v>R1EA-040</x:v>
      </x:c>
      <x:c r="B44" s="40" t="str">
        <x:v>Ingest</x:v>
      </x:c>
      <x:c r="C44" s="40" t="str">
        <x:v>Conditional</x:v>
      </x:c>
      <x:c r="D44" s="40" t="str">
        <x:v>Action-type regulation</x:v>
      </x:c>
      <x:c r="E44" s="40" t="str">
        <x:v>36 CFR part 223 - Sale and disposal of National Forest System timber</x:v>
      </x:c>
      <x:c r="F44" s="40" t="str">
        <x:v>https://www.ecfr.gov/current/title-36/chapter-II/part-223</x:v>
      </x:c>
      <x:c r="G44" s="40" t="str">
        <x:v>USDA Forest Service</x:v>
      </x:c>
      <x:c r="H44" s="40" t="str">
        <x:v>Regulation</x:v>
      </x:c>
      <x:c r="I44" s="40" t="str">
        <x:v>Timber/vegetation EAs</x:v>
      </x:c>
      <x:c r="J44" s="40" t="str">
        <x:v>Timber sale, harvest, salvage, sanitation, stewardship-linked timber actions</x:v>
      </x:c>
      <x:c r="K44" s="40" t="str">
        <x:v>Check sale authority, silvicultural prescription, timber suitability, roads, resource protections, appraisal/contract considerations</x:v>
      </x:c>
      <x:c r="L44" s="41" t="str">
        <x:v>Conditional</x:v>
      </x:c>
    </x:row>
    <x:row r="45" ht="60" customHeight="1">
      <x:c r="A45" s="39" t="str">
        <x:v>R1EA-041</x:v>
      </x:c>
      <x:c r="B45" s="40" t="str">
        <x:v>Ingest</x:v>
      </x:c>
      <x:c r="C45" s="40" t="str">
        <x:v>Conditional</x:v>
      </x:c>
      <x:c r="D45" s="40" t="str">
        <x:v>Action-type regulation</x:v>
      </x:c>
      <x:c r="E45" s="40" t="str">
        <x:v>36 CFR part 228 - Minerals</x:v>
      </x:c>
      <x:c r="F45" s="40" t="str">
        <x:v>https://www.ecfr.gov/current/title-36/chapter-II/part-228</x:v>
      </x:c>
      <x:c r="G45" s="40" t="str">
        <x:v>USDA Forest Service</x:v>
      </x:c>
      <x:c r="H45" s="40" t="str">
        <x:v>Regulation</x:v>
      </x:c>
      <x:c r="I45" s="40" t="str">
        <x:v>Locatable, leasable, and mineral-material EAs</x:v>
      </x:c>
      <x:c r="J45" s="40" t="str">
        <x:v>Plan of operations, surface-use plan, mineral-material permit/contract, reclamation</x:v>
      </x:c>
      <x:c r="K45" s="40" t="str">
        <x:v>Check notice/plan of operations, environmental protection, reclamation, bond/financial assurance, DOI coordination where applicable</x:v>
      </x:c>
      <x:c r="L45" s="41" t="str">
        <x:v>Current rule; proposed 2026 revisions excluded</x:v>
      </x:c>
    </x:row>
    <x:row r="46" ht="60" customHeight="1">
      <x:c r="A46" s="39" t="str">
        <x:v>R1EA-042</x:v>
      </x:c>
      <x:c r="B46" s="40" t="str">
        <x:v>Ingest</x:v>
      </x:c>
      <x:c r="C46" s="40" t="str">
        <x:v>Conditional</x:v>
      </x:c>
      <x:c r="D46" s="40" t="str">
        <x:v>Action-type regulation</x:v>
      </x:c>
      <x:c r="E46" s="40" t="str">
        <x:v>36 CFR part 251 - Land uses and special uses</x:v>
      </x:c>
      <x:c r="F46" s="40" t="str">
        <x:v>https://www.ecfr.gov/current/title-36/chapter-II/part-251</x:v>
      </x:c>
      <x:c r="G46" s="40" t="str">
        <x:v>USDA Forest Service</x:v>
      </x:c>
      <x:c r="H46" s="40" t="str">
        <x:v>Regulation</x:v>
      </x:c>
      <x:c r="I46" s="40" t="str">
        <x:v>Special-use and occupancy EAs</x:v>
      </x:c>
      <x:c r="J46" s="40" t="str">
        <x:v>Utilities, recreation events, outfitter/guide, communications, access, easements, facilities</x:v>
      </x:c>
      <x:c r="K46" s="40" t="str">
        <x:v>Check screening criteria, authorization terms, cost recovery, fees, environmental conditions, plan consistency</x:v>
      </x:c>
      <x:c r="L46" s="41" t="str">
        <x:v>Conditional</x:v>
      </x:c>
    </x:row>
    <x:row r="47" ht="60" customHeight="1">
      <x:c r="A47" s="39" t="str">
        <x:v>R1EA-043</x:v>
      </x:c>
      <x:c r="B47" s="40" t="str">
        <x:v>Ingest</x:v>
      </x:c>
      <x:c r="C47" s="40" t="str">
        <x:v>Conditional</x:v>
      </x:c>
      <x:c r="D47" s="40" t="str">
        <x:v>Action-type statute</x:v>
      </x:c>
      <x:c r="E47" s="40" t="str">
        <x:v>FLPMA Title V rights-of-way, 43 U.S.C. § 1761</x:v>
      </x:c>
      <x:c r="F47" s="40" t="str">
        <x:v>https://uscode.house.gov/view.xhtml?req=(title:43%20section:1761%20edition:prelim)</x:v>
      </x:c>
      <x:c r="G47" s="40" t="str">
        <x:v>Congress</x:v>
      </x:c>
      <x:c r="H47" s="40" t="str">
        <x:v>Statute section</x:v>
      </x:c>
      <x:c r="I47" s="40" t="str">
        <x:v>Rights-of-way and linear facilities</x:v>
      </x:c>
      <x:c r="J47" s="40" t="str">
        <x:v>ROW over, upon, under, or through NFS lands</x:v>
      </x:c>
      <x:c r="K47" s="40" t="str">
        <x:v>Check ROW authority, terms, environmental conditions, plan consistency, and 36 CFR part 251 relationship</x:v>
      </x:c>
      <x:c r="L47" s="41" t="str">
        <x:v>Conditional</x:v>
      </x:c>
    </x:row>
    <x:row r="48" ht="60" customHeight="1">
      <x:c r="A48" s="39" t="str">
        <x:v>R1EA-044</x:v>
      </x:c>
      <x:c r="B48" s="40" t="str">
        <x:v>Ingest</x:v>
      </x:c>
      <x:c r="C48" s="40" t="str">
        <x:v>Conditional</x:v>
      </x:c>
      <x:c r="D48" s="40" t="str">
        <x:v>Action-type regulation</x:v>
      </x:c>
      <x:c r="E48" s="40" t="str">
        <x:v>36 CFR part 261 - Prohibitions and closure orders</x:v>
      </x:c>
      <x:c r="F48" s="40" t="str">
        <x:v>https://www.ecfr.gov/current/title-36/chapter-II/part-261</x:v>
      </x:c>
      <x:c r="G48" s="40" t="str">
        <x:v>USDA Forest Service</x:v>
      </x:c>
      <x:c r="H48" s="40" t="str">
        <x:v>Regulation</x:v>
      </x:c>
      <x:c r="I48" s="40" t="str">
        <x:v>EAs including closures/restrictions</x:v>
      </x:c>
      <x:c r="J48" s="40" t="str">
        <x:v>Project includes road/trail/area closure or resource protection order</x:v>
      </x:c>
      <x:c r="K48" s="40" t="str">
        <x:v>Check order authority, scope, duration, resource/safety rationale, and implementation linkage to NEPA decision</x:v>
      </x:c>
      <x:c r="L48" s="41" t="str">
        <x:v>Conditional</x:v>
      </x:c>
    </x:row>
    <x:row r="49" ht="60" customHeight="1">
      <x:c r="A49" s="39" t="str">
        <x:v>R1EA-045</x:v>
      </x:c>
      <x:c r="B49" s="40" t="str">
        <x:v>Ingest</x:v>
      </x:c>
      <x:c r="C49" s="40" t="str">
        <x:v>Conditional</x:v>
      </x:c>
      <x:c r="D49" s="40" t="str">
        <x:v>Special resource regulation</x:v>
      </x:c>
      <x:c r="E49" s="40" t="str">
        <x:v>36 CFR part 290 - Cave resources</x:v>
      </x:c>
      <x:c r="F49" s="40" t="str">
        <x:v>https://www.ecfr.gov/current/title-36/chapter-II/part-290</x:v>
      </x:c>
      <x:c r="G49" s="40" t="str">
        <x:v>USDA Forest Service</x:v>
      </x:c>
      <x:c r="H49" s="40" t="str">
        <x:v>Regulation</x:v>
      </x:c>
      <x:c r="I49" s="40" t="str">
        <x:v>EAs affecting caves/karst</x:v>
      </x:c>
      <x:c r="J49" s="40" t="str">
        <x:v>Significant cave or cave-location confidentiality issue</x:v>
      </x:c>
      <x:c r="K49" s="40" t="str">
        <x:v>Check significant-cave designation, cave resource protection, confidentiality, and access controls</x:v>
      </x:c>
      <x:c r="L49" s="41" t="str">
        <x:v>Conditional</x:v>
      </x:c>
    </x:row>
    <x:row r="50" ht="60" customHeight="1">
      <x:c r="A50" s="39" t="str">
        <x:v>R1EA-046</x:v>
      </x:c>
      <x:c r="B50" s="40" t="str">
        <x:v>Ingest</x:v>
      </x:c>
      <x:c r="C50" s="40" t="str">
        <x:v>Conditional</x:v>
      </x:c>
      <x:c r="D50" s="40" t="str">
        <x:v>Special resource regulation</x:v>
      </x:c>
      <x:c r="E50" s="40" t="str">
        <x:v>36 CFR part 291 - Paleontological resources</x:v>
      </x:c>
      <x:c r="F50" s="40" t="str">
        <x:v>https://www.ecfr.gov/current/title-36/chapter-II/part-291</x:v>
      </x:c>
      <x:c r="G50" s="40" t="str">
        <x:v>USDA Forest Service</x:v>
      </x:c>
      <x:c r="H50" s="40" t="str">
        <x:v>Regulation</x:v>
      </x:c>
      <x:c r="I50" s="40" t="str">
        <x:v>EAs with fossil/paleontology potential</x:v>
      </x:c>
      <x:c r="J50" s="40" t="str">
        <x:v>Ground disturbance or fossil resources</x:v>
      </x:c>
      <x:c r="K50" s="40" t="str">
        <x:v>Check inventory, permit, confidentiality, curation, casual collection limits, and mitigation</x:v>
      </x:c>
      <x:c r="L50" s="41" t="str">
        <x:v>Conditional</x:v>
      </x:c>
    </x:row>
    <x:row r="51" ht="60" customHeight="1">
      <x:c r="A51" s="39" t="str">
        <x:v>R1EA-047</x:v>
      </x:c>
      <x:c r="B51" s="40" t="str">
        <x:v>Ingest</x:v>
      </x:c>
      <x:c r="C51" s="40" t="str">
        <x:v>Conditional</x:v>
      </x:c>
      <x:c r="D51" s="40" t="str">
        <x:v>Designated area regulation</x:v>
      </x:c>
      <x:c r="E51" s="40" t="str">
        <x:v>36 CFR part 293 - Wilderness</x:v>
      </x:c>
      <x:c r="F51" s="40" t="str">
        <x:v>https://www.ecfr.gov/current/title-36/chapter-II/part-293</x:v>
      </x:c>
      <x:c r="G51" s="40" t="str">
        <x:v>USDA Forest Service</x:v>
      </x:c>
      <x:c r="H51" s="40" t="str">
        <x:v>Regulation</x:v>
      </x:c>
      <x:c r="I51" s="40" t="str">
        <x:v>EAs in or affecting designated wilderness</x:v>
      </x:c>
      <x:c r="J51" s="40" t="str">
        <x:v>Action in wilderness or with potential wilderness effects</x:v>
      </x:c>
      <x:c r="K51" s="40" t="str">
        <x:v>Check wilderness character, minimum requirements, motorized/mechanized/road/structure restrictions, enabling act provisions</x:v>
      </x:c>
      <x:c r="L51" s="41" t="str">
        <x:v>Conditional</x:v>
      </x:c>
    </x:row>
    <x:row r="52" ht="60" customHeight="1">
      <x:c r="A52" s="39" t="str">
        <x:v>R1EA-048</x:v>
      </x:c>
      <x:c r="B52" s="40" t="str">
        <x:v>Ingest</x:v>
      </x:c>
      <x:c r="C52" s="40" t="str">
        <x:v>Conditional</x:v>
      </x:c>
      <x:c r="D52" s="40" t="str">
        <x:v>Designated area regulation</x:v>
      </x:c>
      <x:c r="E52" s="40" t="str">
        <x:v>36 CFR part 294 - Special areas and roadless areas</x:v>
      </x:c>
      <x:c r="F52" s="40" t="str">
        <x:v>https://www.ecfr.gov/current/title-36/chapter-II/part-294</x:v>
      </x:c>
      <x:c r="G52" s="40" t="str">
        <x:v>USDA Forest Service</x:v>
      </x:c>
      <x:c r="H52" s="40" t="str">
        <x:v>Regulation</x:v>
      </x:c>
      <x:c r="I52" s="40" t="str">
        <x:v>Roadless/special area EAs</x:v>
      </x:c>
      <x:c r="J52" s="40" t="str">
        <x:v>Action in inventoried roadless area, Idaho Roadless Area, or other special area</x:v>
      </x:c>
      <x:c r="K52" s="40" t="str">
        <x:v>Check road construction/reconstruction, timber cutting, exceptions, and plan restrictions</x:v>
      </x:c>
      <x:c r="L52" s="41" t="str">
        <x:v>Conditional; current despite proposed rescission</x:v>
      </x:c>
    </x:row>
    <x:row r="53" ht="60" customHeight="1">
      <x:c r="A53" s="39" t="str">
        <x:v>R1EA-049</x:v>
      </x:c>
      <x:c r="B53" s="40" t="str">
        <x:v>Ingest</x:v>
      </x:c>
      <x:c r="C53" s="40" t="str">
        <x:v>Conditional</x:v>
      </x:c>
      <x:c r="D53" s="40" t="str">
        <x:v>Designated area regulation</x:v>
      </x:c>
      <x:c r="E53" s="40" t="str">
        <x:v>36 CFR part 294 subpart B - 2001 roadless rule</x:v>
      </x:c>
      <x:c r="F53" s="40" t="str">
        <x:v>https://www.ecfr.gov/current/title-36/chapter-II/part-294/subpart-B</x:v>
      </x:c>
      <x:c r="G53" s="40" t="str">
        <x:v>USDA Forest Service</x:v>
      </x:c>
      <x:c r="H53" s="40" t="str">
        <x:v>Regulation subpart</x:v>
      </x:c>
      <x:c r="I53" s="40" t="str">
        <x:v>Region 1 EAs in inventoried roadless areas outside Idaho Roadless Rule areas</x:v>
      </x:c>
      <x:c r="J53" s="40" t="str">
        <x:v>Project in IRA not governed by Idaho roadless subpart</x:v>
      </x:c>
      <x:c r="K53" s="40" t="str">
        <x:v>Check road construction/reconstruction and timber cutting prohibitions/exceptions</x:v>
      </x:c>
      <x:c r="L53" s="41" t="str">
        <x:v>Conditional</x:v>
      </x:c>
    </x:row>
    <x:row r="54" ht="60" customHeight="1">
      <x:c r="A54" s="39" t="str">
        <x:v>R1EA-050</x:v>
      </x:c>
      <x:c r="B54" s="40" t="str">
        <x:v>Ingest</x:v>
      </x:c>
      <x:c r="C54" s="40" t="str">
        <x:v>Conditional</x:v>
      </x:c>
      <x:c r="D54" s="40" t="str">
        <x:v>Designated area regulation</x:v>
      </x:c>
      <x:c r="E54" s="40" t="str">
        <x:v>36 CFR part 294 subpart C - Idaho Roadless Rule</x:v>
      </x:c>
      <x:c r="F54" s="40" t="str">
        <x:v>https://www.ecfr.gov/current/title-36/chapter-II/part-294/subpart-C</x:v>
      </x:c>
      <x:c r="G54" s="40" t="str">
        <x:v>USDA Forest Service</x:v>
      </x:c>
      <x:c r="H54" s="40" t="str">
        <x:v>Regulation subpart</x:v>
      </x:c>
      <x:c r="I54" s="40" t="str">
        <x:v>Idaho Panhandle, Bitterroot/Nez Perce-Clearwater Idaho lands where Idaho Roadless applies</x:v>
      </x:c>
      <x:c r="J54" s="40" t="str">
        <x:v>Action in Idaho Roadless Area</x:v>
      </x:c>
      <x:c r="K54" s="40" t="str">
        <x:v>Check IRA category, road/timber exceptions, forest-plan overlays, and project-specific Idaho roadless consistency</x:v>
      </x:c>
      <x:c r="L54" s="41" t="str">
        <x:v>Conditional, Region 1 Idaho only</x:v>
      </x:c>
    </x:row>
    <x:row r="55" ht="60" customHeight="1">
      <x:c r="A55" s="39" t="str">
        <x:v>R1EA-051</x:v>
      </x:c>
      <x:c r="B55" s="40" t="str">
        <x:v>Ingest</x:v>
      </x:c>
      <x:c r="C55" s="40" t="str">
        <x:v>Conditional</x:v>
      </x:c>
      <x:c r="D55" s="40" t="str">
        <x:v>Designated area regulation</x:v>
      </x:c>
      <x:c r="E55" s="40" t="str">
        <x:v>36 CFR part 297 - Wild and Scenic Rivers</x:v>
      </x:c>
      <x:c r="F55" s="40" t="str">
        <x:v>https://www.ecfr.gov/current/title-36/chapter-II/part-297</x:v>
      </x:c>
      <x:c r="G55" s="40" t="str">
        <x:v>USDA Forest Service</x:v>
      </x:c>
      <x:c r="H55" s="40" t="str">
        <x:v>Regulation</x:v>
      </x:c>
      <x:c r="I55" s="40" t="str">
        <x:v>EAs affecting WSR corridors or study rivers</x:v>
      </x:c>
      <x:c r="J55" s="40" t="str">
        <x:v>Water-resources project or activity affecting designated/study WSR</x:v>
      </x:c>
      <x:c r="K55" s="40" t="str">
        <x:v>Check Section 7 evaluation, free-flowing condition, water quality, outstandingly remarkable values, and required determination</x:v>
      </x:c>
      <x:c r="L55" s="41" t="str">
        <x:v>Conditional</x:v>
      </x:c>
    </x:row>
    <x:row r="56" ht="60" customHeight="1">
      <x:c r="A56" s="39" t="str">
        <x:v>R1EA-052</x:v>
      </x:c>
      <x:c r="B56" s="40" t="str">
        <x:v>Ingest</x:v>
      </x:c>
      <x:c r="C56" s="40" t="str">
        <x:v>Conditional</x:v>
      </x:c>
      <x:c r="D56" s="40" t="str">
        <x:v>Designated area statute</x:v>
      </x:c>
      <x:c r="E56" s="40" t="str">
        <x:v>Wilderness Act, 16 U.S.C. chapter 23</x:v>
      </x:c>
      <x:c r="F56" s="40" t="str">
        <x:v>https://uscode.house.gov/view.xhtml?path=/prelim@title16/chapter23&amp;edition=prelim</x:v>
      </x:c>
      <x:c r="G56" s="40" t="str">
        <x:v>Congress</x:v>
      </x:c>
      <x:c r="H56" s="40" t="str">
        <x:v>Statute</x:v>
      </x:c>
      <x:c r="I56" s="40" t="str">
        <x:v>EAs in designated wilderness</x:v>
      </x:c>
      <x:c r="J56" s="40" t="str">
        <x:v>Any project within or affecting wilderness</x:v>
      </x:c>
      <x:c r="K56" s="40" t="str">
        <x:v>Check statutory prohibitions, wilderness character, minimum requirements, and special enabling act conditions</x:v>
      </x:c>
      <x:c r="L56" s="41" t="str">
        <x:v>Conditional</x:v>
      </x:c>
    </x:row>
    <x:row r="57" ht="60" customHeight="1">
      <x:c r="A57" s="39" t="str">
        <x:v>R1EA-053</x:v>
      </x:c>
      <x:c r="B57" s="40" t="str">
        <x:v>Ingest</x:v>
      </x:c>
      <x:c r="C57" s="40" t="str">
        <x:v>Conditional</x:v>
      </x:c>
      <x:c r="D57" s="40" t="str">
        <x:v>Designated area statute</x:v>
      </x:c>
      <x:c r="E57" s="40" t="str">
        <x:v>Wild and Scenic Rivers Act, 16 U.S.C. chapter 28</x:v>
      </x:c>
      <x:c r="F57" s="40" t="str">
        <x:v>https://uscode.house.gov/view.xhtml?path=/prelim@title16/chapter28&amp;edition=prelim</x:v>
      </x:c>
      <x:c r="G57" s="40" t="str">
        <x:v>Congress</x:v>
      </x:c>
      <x:c r="H57" s="40" t="str">
        <x:v>Statute</x:v>
      </x:c>
      <x:c r="I57" s="40" t="str">
        <x:v>EAs affecting designated/study/eligible wild and scenic rivers</x:v>
      </x:c>
      <x:c r="J57" s="40" t="str">
        <x:v>Action may affect WSR values or water resources</x:v>
      </x:c>
      <x:c r="K57" s="40" t="str">
        <x:v>Check Section 7 consistency, ORVs, classification, free-flowing character, and forest-plan WSR eligibility direction</x:v>
      </x:c>
      <x:c r="L57" s="41" t="str">
        <x:v>Conditional</x:v>
      </x:c>
    </x:row>
    <x:row r="58" ht="60" customHeight="1">
      <x:c r="A58" s="39" t="str">
        <x:v>R1EA-054</x:v>
      </x:c>
      <x:c r="B58" s="40" t="str">
        <x:v>Ingest</x:v>
      </x:c>
      <x:c r="C58" s="40" t="str">
        <x:v>Conditional</x:v>
      </x:c>
      <x:c r="D58" s="40" t="str">
        <x:v>Designated area statute</x:v>
      </x:c>
      <x:c r="E58" s="40" t="str">
        <x:v>National Trails System Act, 16 U.S.C. §§ 1241 et seq.</x:v>
      </x:c>
      <x:c r="F58" s="40" t="str">
        <x:v>https://uscode.house.gov/view.xhtml?path=/prelim@title16/chapter27&amp;edition=prelim</x:v>
      </x:c>
      <x:c r="G58" s="40" t="str">
        <x:v>Congress</x:v>
      </x:c>
      <x:c r="H58" s="40" t="str">
        <x:v>Statute</x:v>
      </x:c>
      <x:c r="I58" s="40" t="str">
        <x:v>EAs affecting National Scenic or Historic Trails in Region 1</x:v>
      </x:c>
      <x:c r="J58" s="40" t="str">
        <x:v>Project intersects Continental Divide NST, Nez Perce NHT, Lewis and Clark NHT, or other national trail corridor</x:v>
      </x:c>
      <x:c r="K58" s="40" t="str">
        <x:v>Check trail purpose, corridor/resource protection, scenic/historic integrity, trail plan, and administering-agency coordination</x:v>
      </x:c>
      <x:c r="L58" s="41" t="str">
        <x:v>Conditional</x:v>
      </x:c>
    </x:row>
    <x:row r="59" ht="60" customHeight="1">
      <x:c r="A59" s="39" t="str">
        <x:v>R1EA-055</x:v>
      </x:c>
      <x:c r="B59" s="40" t="str">
        <x:v>Ingest</x:v>
      </x:c>
      <x:c r="C59" s="40" t="str">
        <x:v>Conditional</x:v>
      </x:c>
      <x:c r="D59" s="40" t="str">
        <x:v>Designated area statute</x:v>
      </x:c>
      <x:c r="E59" s="40" t="str">
        <x:v>Montana Wilderness Study Act, Pub. L. 95-150</x:v>
      </x:c>
      <x:c r="F59" s="40" t="str">
        <x:v>https://www.govinfo.gov/content/pkg/STATUTE-91/pdf/STATUTE-91-Pg1243.pdf</x:v>
      </x:c>
      <x:c r="G59" s="40" t="str">
        <x:v>Congress</x:v>
      </x:c>
      <x:c r="H59" s="40" t="str">
        <x:v>Public law</x:v>
      </x:c>
      <x:c r="I59" s="40" t="str">
        <x:v>Montana EAs within designated wilderness study areas</x:v>
      </x:c>
      <x:c r="J59" s="40" t="str">
        <x:v>Action in Montana WSA</x:v>
      </x:c>
      <x:c r="K59" s="40" t="str">
        <x:v>Check WSA-specific statutory direction and forest-plan requirements</x:v>
      </x:c>
      <x:c r="L59" s="41" t="str">
        <x:v>Conditional</x:v>
      </x:c>
    </x:row>
    <x:row r="60" ht="60" customHeight="1">
      <x:c r="A60" s="39" t="str">
        <x:v>R1EA-056</x:v>
      </x:c>
      <x:c r="B60" s="40" t="str">
        <x:v>Ingest</x:v>
      </x:c>
      <x:c r="C60" s="40" t="str">
        <x:v>Conditional</x:v>
      </x:c>
      <x:c r="D60" s="40" t="str">
        <x:v>Vegetation/wildfire statute</x:v>
      </x:c>
      <x:c r="E60" s="40" t="str">
        <x:v>Healthy Forests Restoration Act and related forest management authorities, 16 U.S.C. chapter 84</x:v>
      </x:c>
      <x:c r="F60" s="40" t="str">
        <x:v>https://uscode.house.gov/view.xhtml?path=/prelim@title16/chapter84&amp;edition=prelim</x:v>
      </x:c>
      <x:c r="G60" s="40" t="str">
        <x:v>Congress</x:v>
      </x:c>
      <x:c r="H60" s="40" t="str">
        <x:v>Statute chapter</x:v>
      </x:c>
      <x:c r="I60" s="40" t="str">
        <x:v>Vegetation, fuels, wildfire-risk, restoration EAs</x:v>
      </x:c>
      <x:c r="J60" s="40" t="str">
        <x:v>HFRA project or statutory CE/emergency authority considered</x:v>
      </x:c>
      <x:c r="K60" s="40" t="str">
        <x:v>Check eligibility, public process, plan consistency, objection status, statutory limits, and excluded areas</x:v>
      </x:c>
      <x:c r="L60" s="41" t="str">
        <x:v>Conditional</x:v>
      </x:c>
    </x:row>
    <x:row r="61" ht="60" customHeight="1">
      <x:c r="A61" s="39" t="str">
        <x:v>R1EA-057</x:v>
      </x:c>
      <x:c r="B61" s="40" t="str">
        <x:v>Ingest</x:v>
      </x:c>
      <x:c r="C61" s="40" t="str">
        <x:v>Conditional</x:v>
      </x:c>
      <x:c r="D61" s="40" t="str">
        <x:v>Vegetation/wildfire statute</x:v>
      </x:c>
      <x:c r="E61" s="40" t="str">
        <x:v>16 U.S.C. § 6591b - Insect and disease treatment / restoration CE authority</x:v>
      </x:c>
      <x:c r="F61" s="40" t="str">
        <x:v>https://uscode.house.gov/view.xhtml?req=(title:16%20section:6591b%20edition:prelim)</x:v>
      </x:c>
      <x:c r="G61" s="40" t="str">
        <x:v>Congress</x:v>
      </x:c>
      <x:c r="H61" s="40" t="str">
        <x:v>Statute section</x:v>
      </x:c>
      <x:c r="I61" s="40" t="str">
        <x:v>Level-of-review screen for vegetation projects</x:v>
      </x:c>
      <x:c r="J61" s="40" t="str">
        <x:v>Project may fit statutory CE instead of EA</x:v>
      </x:c>
      <x:c r="K61" s="40" t="str">
        <x:v>Check statutory limitations and why EA is used if CE not applied</x:v>
      </x:c>
      <x:c r="L61" s="41" t="str">
        <x:v>Conditional</x:v>
      </x:c>
    </x:row>
    <x:row r="62" ht="60" customHeight="1">
      <x:c r="A62" s="39" t="str">
        <x:v>R1EA-058</x:v>
      </x:c>
      <x:c r="B62" s="40" t="str">
        <x:v>Ingest</x:v>
      </x:c>
      <x:c r="C62" s="40" t="str">
        <x:v>Conditional</x:v>
      </x:c>
      <x:c r="D62" s="40" t="str">
        <x:v>Vegetation/wildfire statute</x:v>
      </x:c>
      <x:c r="E62" s="40" t="str">
        <x:v>16 U.S.C. § 6591d - Wildfire resilience projects</x:v>
      </x:c>
      <x:c r="F62" s="40" t="str">
        <x:v>https://uscode.house.gov/view.xhtml?req=(title:16%20section:6591d%20edition:prelim)</x:v>
      </x:c>
      <x:c r="G62" s="40" t="str">
        <x:v>Congress</x:v>
      </x:c>
      <x:c r="H62" s="40" t="str">
        <x:v>Statute section</x:v>
      </x:c>
      <x:c r="I62" s="40" t="str">
        <x:v>Wildfire resilience/fuels projects</x:v>
      </x:c>
      <x:c r="J62" s="40" t="str">
        <x:v>Covered hazardous-fuels reduction project</x:v>
      </x:c>
      <x:c r="K62" s="40" t="str">
        <x:v>Check collaborative basis, road limits, size limits, exclusions, extraordinary circumstances, plan consistency</x:v>
      </x:c>
      <x:c r="L62" s="41" t="str">
        <x:v>Conditional</x:v>
      </x:c>
    </x:row>
    <x:row r="63" ht="60" customHeight="1">
      <x:c r="A63" s="39" t="str">
        <x:v>R1EA-059</x:v>
      </x:c>
      <x:c r="B63" s="40" t="str">
        <x:v>Ingest</x:v>
      </x:c>
      <x:c r="C63" s="40" t="str">
        <x:v>Conditional</x:v>
      </x:c>
      <x:c r="D63" s="40" t="str">
        <x:v>Vegetation/wildfire statute</x:v>
      </x:c>
      <x:c r="E63" s="40" t="str">
        <x:v>16 U.S.C. § 6591e - Sage-grouse and mule deer habitat CE</x:v>
      </x:c>
      <x:c r="F63" s="40" t="str">
        <x:v>https://uscode.house.gov/view.xhtml?req=(title:16%20section:6591e%20edition:prelim)</x:v>
      </x:c>
      <x:c r="G63" s="40" t="str">
        <x:v>Congress</x:v>
      </x:c>
      <x:c r="H63" s="40" t="str">
        <x:v>Statute section</x:v>
      </x:c>
      <x:c r="I63" s="40" t="str">
        <x:v>Sage-grouse/mule deer habitat projects</x:v>
      </x:c>
      <x:c r="J63" s="40" t="str">
        <x:v>Vegetation management to protect/restore/improve sage-grouse or mule deer habitat</x:v>
      </x:c>
      <x:c r="K63" s="40" t="str">
        <x:v>Check plan conformity, size/road limits, monitoring/maintenance plan, native vegetation, and exclusions</x:v>
      </x:c>
      <x:c r="L63" s="41" t="str">
        <x:v>Conditional; relevant in R1 grasslands/eastern MT/ND/SD where species/habitat occur</x:v>
      </x:c>
    </x:row>
    <x:row r="64" ht="60" customHeight="1">
      <x:c r="A64" s="39" t="str">
        <x:v>R1EA-060</x:v>
      </x:c>
      <x:c r="B64" s="40" t="str">
        <x:v>Ingest</x:v>
      </x:c>
      <x:c r="C64" s="40" t="str">
        <x:v>Conditional</x:v>
      </x:c>
      <x:c r="D64" s="40" t="str">
        <x:v>Vegetation/wildfire statute</x:v>
      </x:c>
      <x:c r="E64" s="40" t="str">
        <x:v>16 U.S.C. § 6592b - Fuel break CE</x:v>
      </x:c>
      <x:c r="F64" s="40" t="str">
        <x:v>https://uscode.house.gov/view.xhtml?req=(title:16%20section:6592b%20edition:prelim)</x:v>
      </x:c>
      <x:c r="G64" s="40" t="str">
        <x:v>Congress</x:v>
      </x:c>
      <x:c r="H64" s="40" t="str">
        <x:v>Statute section</x:v>
      </x:c>
      <x:c r="I64" s="40" t="str">
        <x:v>Fuel-break projects</x:v>
      </x:c>
      <x:c r="J64" s="40" t="str">
        <x:v>Linear fuel-break project may fit statutory CE</x:v>
      </x:c>
      <x:c r="K64" s="40" t="str">
        <x:v>Check eligible activities, extraordinary-circumstances procedures, exclusions, acreage/location limits, road limits, public collaboration</x:v>
      </x:c>
      <x:c r="L64" s="41" t="str">
        <x:v>Conditional</x:v>
      </x:c>
    </x:row>
    <x:row r="65" ht="60" customHeight="1">
      <x:c r="A65" s="39" t="str">
        <x:v>R1EA-061</x:v>
      </x:c>
      <x:c r="B65" s="40" t="str">
        <x:v>Ingest</x:v>
      </x:c>
      <x:c r="C65" s="40" t="str">
        <x:v>Conditional</x:v>
      </x:c>
      <x:c r="D65" s="40" t="str">
        <x:v>Vegetation/wildfire statute</x:v>
      </x:c>
      <x:c r="E65" s="40" t="str">
        <x:v>16 U.S.C. § 6592c - Emergency actions</x:v>
      </x:c>
      <x:c r="F65" s="40" t="str">
        <x:v>https://uscode.house.gov/view.xhtml?req=(title:16%20section:6592c%20edition:prelim)</x:v>
      </x:c>
      <x:c r="G65" s="40" t="str">
        <x:v>Congress</x:v>
      </x:c>
      <x:c r="H65" s="40" t="str">
        <x:v>Statute section</x:v>
      </x:c>
      <x:c r="I65" s="40" t="str">
        <x:v>Emergency response/forest health projects</x:v>
      </x:c>
      <x:c r="J65" s="40" t="str">
        <x:v>Emergency action for wildfire, insects/disease, damaged trees, fuels, water source, infrastructure, utilities</x:v>
      </x:c>
      <x:c r="K65" s="40" t="str">
        <x:v>Check emergency determination, eligible action, plan consistency, notice/comment if EA is required, and administrative-review effects</x:v>
      </x:c>
      <x:c r="L65" s="41" t="str">
        <x:v>Conditional</x:v>
      </x:c>
    </x:row>
    <x:row r="66" ht="60" customHeight="1">
      <x:c r="A66" s="39" t="str">
        <x:v>R1EA-062</x:v>
      </x:c>
      <x:c r="B66" s="40" t="str">
        <x:v>Ingest</x:v>
      </x:c>
      <x:c r="C66" s="40" t="str">
        <x:v>Conditional</x:v>
      </x:c>
      <x:c r="D66" s="40" t="str">
        <x:v>Forest policy overlay</x:v>
      </x:c>
      <x:c r="E66" s="40" t="str">
        <x:v>Executive Order 14225 - Immediate Expansion of American Timber Production</x:v>
      </x:c>
      <x:c r="F66" s="40" t="str">
        <x:v>https://www.federalregister.gov/documents/2025/03/06/2025-03695/immediate-expansion-of-american-timber-production</x:v>
      </x:c>
      <x:c r="G66" s="40" t="str">
        <x:v>President</x:v>
      </x:c>
      <x:c r="H66" s="40" t="str">
        <x:v>Executive Order</x:v>
      </x:c>
      <x:c r="I66" s="40" t="str">
        <x:v>Timber, fire, forest health, restoration EAs</x:v>
      </x:c>
      <x:c r="J66" s="40" t="str">
        <x:v>Timber/fuels/forest-health project subject to current policy prioritization</x:v>
      </x:c>
      <x:c r="K66" s="40" t="str">
        <x:v>Check policy overlay only; do not let it substitute for NEPA/resource-law compliance</x:v>
      </x:c>
      <x:c r="L66" s="41" t="str">
        <x:v>Current policy overlay</x:v>
      </x:c>
    </x:row>
    <x:row r="67" ht="60" customHeight="1">
      <x:c r="A67" s="39" t="str">
        <x:v>R1EA-063</x:v>
      </x:c>
      <x:c r="B67" s="40" t="str">
        <x:v>Ingest</x:v>
      </x:c>
      <x:c r="C67" s="40" t="str">
        <x:v>Conditional</x:v>
      </x:c>
      <x:c r="D67" s="40" t="str">
        <x:v>Forest policy overlay</x:v>
      </x:c>
      <x:c r="E67" s="40" t="str">
        <x:v>Executive Order 14241 - Immediate Measures to Increase American Mineral Production</x:v>
      </x:c>
      <x:c r="F67" s="40" t="str">
        <x:v>https://www.federalregister.gov/documents/2025/03/25/2025-05212/immediate-measures-to-increase-american-mineral-production</x:v>
      </x:c>
      <x:c r="G67" s="40" t="str">
        <x:v>President</x:v>
      </x:c>
      <x:c r="H67" s="40" t="str">
        <x:v>Executive Order</x:v>
      </x:c>
      <x:c r="I67" s="40" t="str">
        <x:v>Minerals/energy EAs</x:v>
      </x:c>
      <x:c r="J67" s="40" t="str">
        <x:v>Energy/mineral proposal on NFS lands</x:v>
      </x:c>
      <x:c r="K67" s="40" t="str">
        <x:v>Check policy overlay, schedule/prioritization, and ensure 36 CFR part 228/ESA/NHPA/CWA compliance remains intact</x:v>
      </x:c>
      <x:c r="L67" s="41" t="str">
        <x:v>Current policy overlay</x:v>
      </x:c>
    </x:row>
    <x:row r="68" ht="60" customHeight="1">
      <x:c r="A68" s="39" t="str">
        <x:v>R1EA-064</x:v>
      </x:c>
      <x:c r="B68" s="40" t="str">
        <x:v>Ingest</x:v>
      </x:c>
      <x:c r="C68" s="40" t="str">
        <x:v>Conditional</x:v>
      </x:c>
      <x:c r="D68" s="40" t="str">
        <x:v>Species law</x:v>
      </x:c>
      <x:c r="E68" s="40" t="str">
        <x:v>Endangered Species Act, 16 U.S.C. chapter 35</x:v>
      </x:c>
      <x:c r="F68" s="40" t="str">
        <x:v>https://uscode.house.gov/view.xhtml?path=/prelim@title16/chapter35&amp;edition=prelim</x:v>
      </x:c>
      <x:c r="G68" s="40" t="str">
        <x:v>Congress</x:v>
      </x:c>
      <x:c r="H68" s="40" t="str">
        <x:v>Statute</x:v>
      </x:c>
      <x:c r="I68" s="40" t="str">
        <x:v>EAs with listed/proposed/candidate species or critical habitat</x:v>
      </x:c>
      <x:c r="J68" s="40" t="str">
        <x:v>Action may affect ESA-listed species or critical habitat</x:v>
      </x:c>
      <x:c r="K68" s="40" t="str">
        <x:v>Check species list, effect determinations, consultation status, conservation measures, and ESA §7(d) limits</x:v>
      </x:c>
      <x:c r="L68" s="41" t="str">
        <x:v>Conditional but often triggered</x:v>
      </x:c>
    </x:row>
    <x:row r="69" ht="60" customHeight="1">
      <x:c r="A69" s="39" t="str">
        <x:v>R1EA-065</x:v>
      </x:c>
      <x:c r="B69" s="40" t="str">
        <x:v>Ingest</x:v>
      </x:c>
      <x:c r="C69" s="40" t="str">
        <x:v>Conditional</x:v>
      </x:c>
      <x:c r="D69" s="40" t="str">
        <x:v>Species law</x:v>
      </x:c>
      <x:c r="E69" s="40" t="str">
        <x:v>ESA § 7, 16 U.S.C. § 1536</x:v>
      </x:c>
      <x:c r="F69" s="40" t="str">
        <x:v>https://uscode.house.gov/view.xhtml?req=(title:16%20section:1536%20edition:prelim)</x:v>
      </x:c>
      <x:c r="G69" s="40" t="str">
        <x:v>Congress</x:v>
      </x:c>
      <x:c r="H69" s="40" t="str">
        <x:v>Statute section</x:v>
      </x:c>
      <x:c r="I69" s="40" t="str">
        <x:v>EAs with listed/proposed species or critical habitat</x:v>
      </x:c>
      <x:c r="J69" s="40" t="str">
        <x:v>Action may affect listed species or critical habitat</x:v>
      </x:c>
      <x:c r="K69" s="40" t="str">
        <x:v>Check no-effect, NLAA concurrence, formal consultation/BO, conference, reinitiation, or emergency consultation</x:v>
      </x:c>
      <x:c r="L69" s="41" t="str">
        <x:v>Conditional</x:v>
      </x:c>
    </x:row>
    <x:row r="70" ht="60" customHeight="1">
      <x:c r="A70" s="39" t="str">
        <x:v>R1EA-066</x:v>
      </x:c>
      <x:c r="B70" s="40" t="str">
        <x:v>Ingest</x:v>
      </x:c>
      <x:c r="C70" s="40" t="str">
        <x:v>Conditional</x:v>
      </x:c>
      <x:c r="D70" s="40" t="str">
        <x:v>Species regulation</x:v>
      </x:c>
      <x:c r="E70" s="40" t="str">
        <x:v>50 CFR part 402 - Interagency cooperation under ESA</x:v>
      </x:c>
      <x:c r="F70" s="40" t="str">
        <x:v>https://www.ecfr.gov/current/title-50/chapter-IV/subchapter-A/part-402</x:v>
      </x:c>
      <x:c r="G70" s="40" t="str">
        <x:v>FWS/NMFS</x:v>
      </x:c>
      <x:c r="H70" s="40" t="str">
        <x:v>Regulation</x:v>
      </x:c>
      <x:c r="I70" s="40" t="str">
        <x:v>EAs with listed/proposed species or critical habitat</x:v>
      </x:c>
      <x:c r="J70" s="40" t="str">
        <x:v>ESA §7 consultation required or considered</x:v>
      </x:c>
      <x:c r="K70" s="40" t="str">
        <x:v>Check action area, effects of action, listed species/critical habitat, consultation path, biological assessment, BO terms/RPMs/T&amp;Cs</x:v>
      </x:c>
      <x:c r="L70" s="41" t="str">
        <x:v>Conditional</x:v>
      </x:c>
    </x:row>
    <x:row r="71" ht="60" customHeight="1">
      <x:c r="A71" s="39" t="str">
        <x:v>R1EA-067</x:v>
      </x:c>
      <x:c r="B71" s="40" t="str">
        <x:v>Ingest</x:v>
      </x:c>
      <x:c r="C71" s="40" t="str">
        <x:v>Baseline</x:v>
      </x:c>
      <x:c r="D71" s="40" t="str">
        <x:v>Region 1 species</x:v>
      </x:c>
      <x:c r="E71" s="40" t="str">
        <x:v>Northern Region species of conservation concern page</x:v>
      </x:c>
      <x:c r="F71" s="40" t="str">
        <x:v>https://www.fs.usda.gov/r01/planning/species-conservation-concern</x:v>
      </x:c>
      <x:c r="G71" s="40" t="str">
        <x:v>USDA Forest Service Region 1</x:v>
      </x:c>
      <x:c r="H71" s="40" t="str">
        <x:v>Agency species page</x:v>
      </x:c>
      <x:c r="I71" s="40" t="str">
        <x:v>EAs implementing 2012-rule forest plans; species consistency checks</x:v>
      </x:c>
      <x:c r="J71" s="40" t="str">
        <x:v>Applicable forest plan has SCC identified by Regional Forester</x:v>
      </x:c>
      <x:c r="K71" s="40" t="str">
        <x:v>Check SCC list for the affected forest and relevant plan components; distinguish SCC from sensitive species and ESA-listed species</x:v>
      </x:c>
      <x:c r="L71" s="41" t="str">
        <x:v>Baseline source for R1 plan consistency</x:v>
      </x:c>
    </x:row>
    <x:row r="72" ht="60" customHeight="1">
      <x:c r="A72" s="39" t="str">
        <x:v>R1EA-068</x:v>
      </x:c>
      <x:c r="B72" s="40" t="str">
        <x:v>Ingest</x:v>
      </x:c>
      <x:c r="C72" s="40" t="str">
        <x:v>Conditional</x:v>
      </x:c>
      <x:c r="D72" s="40" t="str">
        <x:v>Region 1 species</x:v>
      </x:c>
      <x:c r="E72" s="40" t="str">
        <x:v>Northern Region animals and plants / sensitive species page</x:v>
      </x:c>
      <x:c r="F72" s="40" t="str">
        <x:v>https://www.fs.usda.gov/r01/animals-plants</x:v>
      </x:c>
      <x:c r="G72" s="40" t="str">
        <x:v>USDA Forest Service Region 1</x:v>
      </x:c>
      <x:c r="H72" s="40" t="str">
        <x:v>Agency species page</x:v>
      </x:c>
      <x:c r="I72" s="40" t="str">
        <x:v>EAs with biological resources</x:v>
      </x:c>
      <x:c r="J72" s="40" t="str">
        <x:v>Sensitive species, wildlife, plants, fisheries, threatened/endangered resources</x:v>
      </x:c>
      <x:c r="K72" s="40" t="str">
        <x:v>Check current R1 lists and resource-specific pages used by ID team</x:v>
      </x:c>
      <x:c r="L72" s="41" t="str">
        <x:v>Use with FSM 2670</x:v>
      </x:c>
    </x:row>
    <x:row r="73" ht="60" customHeight="1">
      <x:c r="A73" s="39" t="str">
        <x:v>R1EA-069</x:v>
      </x:c>
      <x:c r="B73" s="40" t="str">
        <x:v>Ingest</x:v>
      </x:c>
      <x:c r="C73" s="40" t="str">
        <x:v>Conditional</x:v>
      </x:c>
      <x:c r="D73" s="40" t="str">
        <x:v>Region 1 species/plan overlay</x:v>
      </x:c>
      <x:c r="E73" s="40" t="str">
        <x:v>Northern Rockies Lynx Management Direction</x:v>
      </x:c>
      <x:c r="F73" s="40" t="str">
        <x:v>https://www.fs.usda.gov/r01/animals-plants/animals/lynx-management-direction-northern-rockies</x:v>
      </x:c>
      <x:c r="G73" s="40" t="str">
        <x:v>USDA Forest Service Region 1</x:v>
      </x:c>
      <x:c r="H73" s="40" t="str">
        <x:v>Plan amendment / agency page</x:v>
      </x:c>
      <x:c r="I73" s="40" t="str">
        <x:v>EAs in lynx analysis units or forests covered by NR LMD</x:v>
      </x:c>
      <x:c r="J73" s="40" t="str">
        <x:v>Project may affect Canada lynx or lynx habitat</x:v>
      </x:c>
      <x:c r="K73" s="40" t="str">
        <x:v>Check LAU mapping, standards/guidelines, vegetation/snow/recreation effects, ESA consultation consistency</x:v>
      </x:c>
      <x:c r="L73" s="41" t="str">
        <x:v>Conditional, relevant to many R1 forests</x:v>
      </x:c>
    </x:row>
    <x:row r="74" ht="60" customHeight="1">
      <x:c r="A74" s="39" t="str">
        <x:v>R1EA-070</x:v>
      </x:c>
      <x:c r="B74" s="40" t="str">
        <x:v>Ingest</x:v>
      </x:c>
      <x:c r="C74" s="40" t="str">
        <x:v>Conditional</x:v>
      </x:c>
      <x:c r="D74" s="40" t="str">
        <x:v>Cultural law</x:v>
      </x:c>
      <x:c r="E74" s="40" t="str">
        <x:v>NHPA § 106, 54 U.S.C. § 306108</x:v>
      </x:c>
      <x:c r="F74" s="40" t="str">
        <x:v>https://uscode.house.gov/view.xhtml?req=(title:54%20section:306108%20edition:prelim)</x:v>
      </x:c>
      <x:c r="G74" s="40" t="str">
        <x:v>Congress</x:v>
      </x:c>
      <x:c r="H74" s="40" t="str">
        <x:v>Statute section</x:v>
      </x:c>
      <x:c r="I74" s="40" t="str">
        <x:v>All undertakings with potential effects on historic properties</x:v>
      </x:c>
      <x:c r="J74" s="40" t="str">
        <x:v>Federal undertaking may affect historic properties</x:v>
      </x:c>
      <x:c r="K74" s="40" t="str">
        <x:v>Check undertaking, APE, identification/evaluation, SHPO/THPO/Tribal consultation, effect finding, adverse-effect resolution</x:v>
      </x:c>
      <x:c r="L74" s="41" t="str">
        <x:v>Conditional; most ground-disturbing EAs</x:v>
      </x:c>
    </x:row>
    <x:row r="75" ht="60" customHeight="1">
      <x:c r="A75" s="39" t="str">
        <x:v>R1EA-071</x:v>
      </x:c>
      <x:c r="B75" s="40" t="str">
        <x:v>Ingest</x:v>
      </x:c>
      <x:c r="C75" s="40" t="str">
        <x:v>Conditional</x:v>
      </x:c>
      <x:c r="D75" s="40" t="str">
        <x:v>Cultural regulation</x:v>
      </x:c>
      <x:c r="E75" s="40" t="str">
        <x:v>36 CFR part 800 - Protection of historic properties</x:v>
      </x:c>
      <x:c r="F75" s="40" t="str">
        <x:v>https://www.ecfr.gov/current/title-36/chapter-VIII/part-800</x:v>
      </x:c>
      <x:c r="G75" s="40" t="str">
        <x:v>Advisory Council on Historic Preservation</x:v>
      </x:c>
      <x:c r="H75" s="40" t="str">
        <x:v>Regulation</x:v>
      </x:c>
      <x:c r="I75" s="40" t="str">
        <x:v>EAs triggering NHPA §106</x:v>
      </x:c>
      <x:c r="J75" s="40" t="str">
        <x:v>Federal undertaking may affect historic properties</x:v>
      </x:c>
      <x:c r="K75" s="40" t="str">
        <x:v>Check consultation sequence, findings, MOA/PA, documentation standards, emergency/post-review discovery, NEPA coordination</x:v>
      </x:c>
      <x:c r="L75" s="41" t="str">
        <x:v>Conditional</x:v>
      </x:c>
    </x:row>
    <x:row r="76" ht="60" customHeight="1">
      <x:c r="A76" s="39" t="str">
        <x:v>R1EA-072</x:v>
      </x:c>
      <x:c r="B76" s="40" t="str">
        <x:v>Ingest</x:v>
      </x:c>
      <x:c r="C76" s="40" t="str">
        <x:v>Conditional</x:v>
      </x:c>
      <x:c r="D76" s="40" t="str">
        <x:v>Cultural law</x:v>
      </x:c>
      <x:c r="E76" s="40" t="str">
        <x:v>NHPA § 110 federal agency preservation responsibilities, 54 U.S.C. chapter 3061</x:v>
      </x:c>
      <x:c r="F76" s="40" t="str">
        <x:v>https://uscode.house.gov/view.xhtml?path=/prelim@title54/subtitleIII/divisionA/subdivision2/chapter3061&amp;edition=prelim</x:v>
      </x:c>
      <x:c r="G76" s="40" t="str">
        <x:v>Congress</x:v>
      </x:c>
      <x:c r="H76" s="40" t="str">
        <x:v>Statute chapter</x:v>
      </x:c>
      <x:c r="I76" s="40" t="str">
        <x:v>EAs involving federal historic properties or NHLs</x:v>
      </x:c>
      <x:c r="J76" s="40" t="str">
        <x:v>Forest Service owns/controls historic properties or project affects NHL</x:v>
      </x:c>
      <x:c r="K76" s="40" t="str">
        <x:v>Check stewardship responsibilities, inventory/program responsibilities, and minimization of harm to NHLs</x:v>
      </x:c>
      <x:c r="L76" s="41" t="str">
        <x:v>Conditional</x:v>
      </x:c>
    </x:row>
    <x:row r="77" ht="60" customHeight="1">
      <x:c r="A77" s="39" t="str">
        <x:v>R1EA-073</x:v>
      </x:c>
      <x:c r="B77" s="40" t="str">
        <x:v>Ingest</x:v>
      </x:c>
      <x:c r="C77" s="40" t="str">
        <x:v>Conditional</x:v>
      </x:c>
      <x:c r="D77" s="40" t="str">
        <x:v>Cultural law</x:v>
      </x:c>
      <x:c r="E77" s="40" t="str">
        <x:v>Archaeological Resources Protection Act, 16 U.S.C. chapter 1B</x:v>
      </x:c>
      <x:c r="F77" s="40" t="str">
        <x:v>https://uscode.house.gov/view.xhtml?path=/prelim@title16/chapter1B&amp;edition=prelim</x:v>
      </x:c>
      <x:c r="G77" s="40" t="str">
        <x:v>Congress</x:v>
      </x:c>
      <x:c r="H77" s="40" t="str">
        <x:v>Statute chapter</x:v>
      </x:c>
      <x:c r="I77" s="40" t="str">
        <x:v>EAs with archaeological resources</x:v>
      </x:c>
      <x:c r="J77" s="40" t="str">
        <x:v>Excavation, removal, damage risk, confidentiality, or archaeological activities on NFS lands</x:v>
      </x:c>
      <x:c r="K77" s="40" t="str">
        <x:v>Check ARPA permit/exception, site confidentiality, Tribal notice where required, curation, enforcement concerns</x:v>
      </x:c>
      <x:c r="L77" s="41" t="str">
        <x:v>Conditional</x:v>
      </x:c>
    </x:row>
    <x:row r="78" ht="60" customHeight="1">
      <x:c r="A78" s="39" t="str">
        <x:v>R1EA-074</x:v>
      </x:c>
      <x:c r="B78" s="40" t="str">
        <x:v>Ingest</x:v>
      </x:c>
      <x:c r="C78" s="40" t="str">
        <x:v>Conditional</x:v>
      </x:c>
      <x:c r="D78" s="40" t="str">
        <x:v>Cultural regulation</x:v>
      </x:c>
      <x:c r="E78" s="40" t="str">
        <x:v>36 CFR part 296 - ARPA uniform regulations</x:v>
      </x:c>
      <x:c r="F78" s="40" t="str">
        <x:v>https://www.ecfr.gov/current/title-36/chapter-II/part-296</x:v>
      </x:c>
      <x:c r="G78" s="40" t="str">
        <x:v>USDA Forest Service</x:v>
      </x:c>
      <x:c r="H78" s="40" t="str">
        <x:v>Regulation</x:v>
      </x:c>
      <x:c r="I78" s="40" t="str">
        <x:v>EAs with archaeological resources</x:v>
      </x:c>
      <x:c r="J78" s="40" t="str">
        <x:v>ARPA permit/management requirements triggered</x:v>
      </x:c>
      <x:c r="K78" s="40" t="str">
        <x:v>Check permit standards, prohibited acts, confidentiality, custody, and penalties</x:v>
      </x:c>
      <x:c r="L78" s="41" t="str">
        <x:v>Conditional</x:v>
      </x:c>
    </x:row>
    <x:row r="79" ht="60" customHeight="1">
      <x:c r="A79" s="39" t="str">
        <x:v>R1EA-075</x:v>
      </x:c>
      <x:c r="B79" s="40" t="str">
        <x:v>Ingest</x:v>
      </x:c>
      <x:c r="C79" s="40" t="str">
        <x:v>Conditional</x:v>
      </x:c>
      <x:c r="D79" s="40" t="str">
        <x:v>Cultural law</x:v>
      </x:c>
      <x:c r="E79" s="40" t="str">
        <x:v>Native American Graves Protection and Repatriation Act, 25 U.S.C. chapter 32</x:v>
      </x:c>
      <x:c r="F79" s="40" t="str">
        <x:v>https://uscode.house.gov/view.xhtml?path=/prelim@title25/chapter32&amp;edition=prelim</x:v>
      </x:c>
      <x:c r="G79" s="40" t="str">
        <x:v>Congress</x:v>
      </x:c>
      <x:c r="H79" s="40" t="str">
        <x:v>Statute chapter</x:v>
      </x:c>
      <x:c r="I79" s="40" t="str">
        <x:v>EAs with excavation/discovery risk or cultural items</x:v>
      </x:c>
      <x:c r="J79" s="40" t="str">
        <x:v>Discovery/excavation/custody of Native American human remains or cultural items</x:v>
      </x:c>
      <x:c r="K79" s="40" t="str">
        <x:v>Check discovery plan, stop-work procedures, consultation, disposition, repatriation and custody records</x:v>
      </x:c>
      <x:c r="L79" s="41" t="str">
        <x:v>Conditional</x:v>
      </x:c>
    </x:row>
    <x:row r="80" ht="60" customHeight="1">
      <x:c r="A80" s="39" t="str">
        <x:v>R1EA-076</x:v>
      </x:c>
      <x:c r="B80" s="40" t="str">
        <x:v>Ingest</x:v>
      </x:c>
      <x:c r="C80" s="40" t="str">
        <x:v>Conditional</x:v>
      </x:c>
      <x:c r="D80" s="40" t="str">
        <x:v>Cultural regulation</x:v>
      </x:c>
      <x:c r="E80" s="40" t="str">
        <x:v>43 CFR part 10 - NAGPRA regulations</x:v>
      </x:c>
      <x:c r="F80" s="40" t="str">
        <x:v>https://www.ecfr.gov/current/title-43/subtitle-A/part-10</x:v>
      </x:c>
      <x:c r="G80" s="40" t="str">
        <x:v>Department of the Interior</x:v>
      </x:c>
      <x:c r="H80" s="40" t="str">
        <x:v>Regulation</x:v>
      </x:c>
      <x:c r="I80" s="40" t="str">
        <x:v>EAs with NAGPRA-triggering circumstances</x:v>
      </x:c>
      <x:c r="J80" s="40" t="str">
        <x:v>Discovery, excavation, custody, repatriation/disposition</x:v>
      </x:c>
      <x:c r="K80" s="40" t="str">
        <x:v>Check current NAGPRA procedures, consultation, timelines, deference to traditional knowledge where applicable</x:v>
      </x:c>
      <x:c r="L80" s="41" t="str">
        <x:v>Conditional</x:v>
      </x:c>
    </x:row>
    <x:row r="81" ht="60" customHeight="1">
      <x:c r="A81" s="39" t="str">
        <x:v>R1EA-077</x:v>
      </x:c>
      <x:c r="B81" s="40" t="str">
        <x:v>Ingest</x:v>
      </x:c>
      <x:c r="C81" s="40" t="str">
        <x:v>Conditional</x:v>
      </x:c>
      <x:c r="D81" s="40" t="str">
        <x:v>Tribal/cultural law</x:v>
      </x:c>
      <x:c r="E81" s="40" t="str">
        <x:v>Cultural and Heritage Cooperation Authority, 25 U.S.C. chapter 32A</x:v>
      </x:c>
      <x:c r="F81" s="40" t="str">
        <x:v>https://uscode.house.gov/view.xhtml?path=/prelim@title25/chapter32A&amp;edition=prelim</x:v>
      </x:c>
      <x:c r="G81" s="40" t="str">
        <x:v>Congress</x:v>
      </x:c>
      <x:c r="H81" s="40" t="str">
        <x:v>Statute chapter</x:v>
      </x:c>
      <x:c r="I81" s="40" t="str">
        <x:v>EAs involving Tribal cultural interests on NFS lands</x:v>
      </x:c>
      <x:c r="J81" s="40" t="str">
        <x:v>Reburial, temporary closure, forest products for cultural/traditional purposes, confidentiality</x:v>
      </x:c>
      <x:c r="K81" s="40" t="str">
        <x:v>Check access, closures, reburial, forest-product provisions, and culturally sensitive information handling</x:v>
      </x:c>
      <x:c r="L81" s="41" t="str">
        <x:v>Conditional</x:v>
      </x:c>
    </x:row>
    <x:row r="82" ht="60" customHeight="1">
      <x:c r="A82" s="39" t="str">
        <x:v>R1EA-078</x:v>
      </x:c>
      <x:c r="B82" s="40" t="str">
        <x:v>Ingest</x:v>
      </x:c>
      <x:c r="C82" s="40" t="str">
        <x:v>Conditional</x:v>
      </x:c>
      <x:c r="D82" s="40" t="str">
        <x:v>Religious freedom</x:v>
      </x:c>
      <x:c r="E82" s="40" t="str">
        <x:v>American Indian Religious Freedom Act, 42 U.S.C. § 1996</x:v>
      </x:c>
      <x:c r="F82" s="40" t="str">
        <x:v>https://uscode.house.gov/view.xhtml?req=(title:42%20section:1996%20edition:prelim)</x:v>
      </x:c>
      <x:c r="G82" s="40" t="str">
        <x:v>Congress</x:v>
      </x:c>
      <x:c r="H82" s="40" t="str">
        <x:v>Statute section</x:v>
      </x:c>
      <x:c r="I82" s="40" t="str">
        <x:v>EAs affecting Tribal religious practices/sacred sites</x:v>
      </x:c>
      <x:c r="J82" s="40" t="str">
        <x:v>Project may affect access, ceremonial use, or religious practice</x:v>
      </x:c>
      <x:c r="K82" s="40" t="str">
        <x:v>Check consultation and accommodation/avoidance documentation</x:v>
      </x:c>
      <x:c r="L82" s="41" t="str">
        <x:v>Conditional</x:v>
      </x:c>
    </x:row>
    <x:row r="83" ht="60" customHeight="1">
      <x:c r="A83" s="39" t="str">
        <x:v>R1EA-079</x:v>
      </x:c>
      <x:c r="B83" s="40" t="str">
        <x:v>Ingest</x:v>
      </x:c>
      <x:c r="C83" s="40" t="str">
        <x:v>Conditional</x:v>
      </x:c>
      <x:c r="D83" s="40" t="str">
        <x:v>Religious freedom</x:v>
      </x:c>
      <x:c r="E83" s="40" t="str">
        <x:v>Religious Freedom Restoration Act, 42 U.S.C. chapter 21B</x:v>
      </x:c>
      <x:c r="F83" s="40" t="str">
        <x:v>https://uscode.house.gov/view.xhtml?path=/prelim@title42/chapter21B&amp;edition=prelim</x:v>
      </x:c>
      <x:c r="G83" s="40" t="str">
        <x:v>Congress</x:v>
      </x:c>
      <x:c r="H83" s="40" t="str">
        <x:v>Statute chapter</x:v>
      </x:c>
      <x:c r="I83" s="40" t="str">
        <x:v>EAs with potential substantial burden on religious exercise</x:v>
      </x:c>
      <x:c r="J83" s="40" t="str">
        <x:v>Project may substantially burden religious exercise</x:v>
      </x:c>
      <x:c r="K83" s="40" t="str">
        <x:v>Check RFRA screening and legal coordination where sacred-site/religious-use issues arise</x:v>
      </x:c>
      <x:c r="L83" s="41" t="str">
        <x:v>Conditional</x:v>
      </x:c>
    </x:row>
    <x:row r="84" ht="60" customHeight="1">
      <x:c r="A84" s="39" t="str">
        <x:v>R1EA-080</x:v>
      </x:c>
      <x:c r="B84" s="40" t="str">
        <x:v>Ingest</x:v>
      </x:c>
      <x:c r="C84" s="40" t="str">
        <x:v>Conditional</x:v>
      </x:c>
      <x:c r="D84" s="40" t="str">
        <x:v>Sacred sites</x:v>
      </x:c>
      <x:c r="E84" s="40" t="str">
        <x:v>Executive Order 13007 - Indian Sacred Sites</x:v>
      </x:c>
      <x:c r="F84" s="40" t="str">
        <x:v>https://www.federalregister.gov/documents/1996/05/29/96-13597/indian-sacred-sites</x:v>
      </x:c>
      <x:c r="G84" s="40" t="str">
        <x:v>President</x:v>
      </x:c>
      <x:c r="H84" s="40" t="str">
        <x:v>Executive Order</x:v>
      </x:c>
      <x:c r="I84" s="40" t="str">
        <x:v>EAs affecting sacred sites</x:v>
      </x:c>
      <x:c r="J84" s="40" t="str">
        <x:v>Action may affect access to, ceremonial use of, or physical integrity of sacred sites</x:v>
      </x:c>
      <x:c r="K84" s="40" t="str">
        <x:v>Check accommodation, avoidance, confidentiality, and Tribal consultation records</x:v>
      </x:c>
      <x:c r="L84" s="41" t="str">
        <x:v>Conditional</x:v>
      </x:c>
    </x:row>
    <x:row r="85" ht="60" customHeight="1">
      <x:c r="A85" s="39" t="str">
        <x:v>R1EA-081</x:v>
      </x:c>
      <x:c r="B85" s="40" t="str">
        <x:v>Ingest</x:v>
      </x:c>
      <x:c r="C85" s="40" t="str">
        <x:v>Conditional</x:v>
      </x:c>
      <x:c r="D85" s="40" t="str">
        <x:v>Tribal consultation</x:v>
      </x:c>
      <x:c r="E85" s="40" t="str">
        <x:v>Executive Order 13175 - Consultation and Coordination With Indian Tribal Governments</x:v>
      </x:c>
      <x:c r="F85" s="40" t="str">
        <x:v>https://www.federalregister.gov/documents/2000/11/09/00-29003/consultation-and-coordination-with-indian-tribal-governments</x:v>
      </x:c>
      <x:c r="G85" s="40" t="str">
        <x:v>President</x:v>
      </x:c>
      <x:c r="H85" s="40" t="str">
        <x:v>Executive Order</x:v>
      </x:c>
      <x:c r="I85" s="40" t="str">
        <x:v>EAs with Tribal implications</x:v>
      </x:c>
      <x:c r="J85" s="40" t="str">
        <x:v>Project has Tribal implications, treaty/trust issues, sacred sites, cultural resources</x:v>
      </x:c>
      <x:c r="K85" s="40" t="str">
        <x:v>Check government-to-government consultation, issues raised, response, and unresolved concerns</x:v>
      </x:c>
      <x:c r="L85" s="41" t="str">
        <x:v>Conditional</x:v>
      </x:c>
    </x:row>
    <x:row r="86" ht="60" customHeight="1">
      <x:c r="A86" s="39" t="str">
        <x:v>R1EA-082</x:v>
      </x:c>
      <x:c r="B86" s="40" t="str">
        <x:v>Ingest</x:v>
      </x:c>
      <x:c r="C86" s="40" t="str">
        <x:v>Conditional</x:v>
      </x:c>
      <x:c r="D86" s="40" t="str">
        <x:v>Water law</x:v>
      </x:c>
      <x:c r="E86" s="40" t="str">
        <x:v>Clean Water Act, 33 U.S.C. chapter 26</x:v>
      </x:c>
      <x:c r="F86" s="40" t="str">
        <x:v>https://uscode.house.gov/view.xhtml?path=/prelim@title33/chapter26&amp;edition=prelim</x:v>
      </x:c>
      <x:c r="G86" s="40" t="str">
        <x:v>Congress</x:v>
      </x:c>
      <x:c r="H86" s="40" t="str">
        <x:v>Statute chapter</x:v>
      </x:c>
      <x:c r="I86" s="40" t="str">
        <x:v>EAs affecting waters/wetlands/discharges</x:v>
      </x:c>
      <x:c r="J86" s="40" t="str">
        <x:v>Discharge, dredge/fill, stormwater, water-quality effects</x:v>
      </x:c>
      <x:c r="K86" s="40" t="str">
        <x:v>Check 401/402/404 applicability, standards, permits, BMPs, and state/Tribal certifications</x:v>
      </x:c>
      <x:c r="L86" s="41" t="str">
        <x:v>Conditional but common</x:v>
      </x:c>
    </x:row>
    <x:row r="87" ht="60" customHeight="1">
      <x:c r="A87" s="39" t="str">
        <x:v>R1EA-083</x:v>
      </x:c>
      <x:c r="B87" s="40" t="str">
        <x:v>Ingest</x:v>
      </x:c>
      <x:c r="C87" s="40" t="str">
        <x:v>Conditional</x:v>
      </x:c>
      <x:c r="D87" s="40" t="str">
        <x:v>Water law</x:v>
      </x:c>
      <x:c r="E87" s="40" t="str">
        <x:v>CWA § 401 water quality certification, 33 U.S.C. § 1341</x:v>
      </x:c>
      <x:c r="F87" s="40" t="str">
        <x:v>https://uscode.house.gov/view.xhtml?req=(title:33%20section:1341%20edition:prelim)</x:v>
      </x:c>
      <x:c r="G87" s="40" t="str">
        <x:v>Congress</x:v>
      </x:c>
      <x:c r="H87" s="40" t="str">
        <x:v>Statute section</x:v>
      </x:c>
      <x:c r="I87" s="40" t="str">
        <x:v>EAs involving federal license/permit with discharge</x:v>
      </x:c>
      <x:c r="J87" s="40" t="str">
        <x:v>CWA permit/license may result in discharge into waters</x:v>
      </x:c>
      <x:c r="K87" s="40" t="str">
        <x:v>Check state/Tribal certification, waiver, conditions, or denial; attach project-specific cert</x:v>
      </x:c>
      <x:c r="L87" s="41" t="str">
        <x:v>Conditional</x:v>
      </x:c>
    </x:row>
    <x:row r="88" ht="60" customHeight="1">
      <x:c r="A88" s="39" t="str">
        <x:v>R1EA-084</x:v>
      </x:c>
      <x:c r="B88" s="40" t="str">
        <x:v>Ingest</x:v>
      </x:c>
      <x:c r="C88" s="40" t="str">
        <x:v>Conditional</x:v>
      </x:c>
      <x:c r="D88" s="40" t="str">
        <x:v>Water law</x:v>
      </x:c>
      <x:c r="E88" s="40" t="str">
        <x:v>CWA § 402 NPDES, 33 U.S.C. § 1342</x:v>
      </x:c>
      <x:c r="F88" s="40" t="str">
        <x:v>https://uscode.house.gov/view.xhtml?req=(title:33%20section:1342%20edition:prelim)</x:v>
      </x:c>
      <x:c r="G88" s="40" t="str">
        <x:v>Congress</x:v>
      </x:c>
      <x:c r="H88" s="40" t="str">
        <x:v>Statute section</x:v>
      </x:c>
      <x:c r="I88" s="40" t="str">
        <x:v>EAs with point-source/stormwater discharge</x:v>
      </x:c>
      <x:c r="J88" s="40" t="str">
        <x:v>Construction stormwater, pesticide discharge, wastewater, other point-source discharge</x:v>
      </x:c>
      <x:c r="K88" s="40" t="str">
        <x:v>Check NPDES permit/coverage and pollution prevention plan</x:v>
      </x:c>
      <x:c r="L88" s="41" t="str">
        <x:v>Conditional</x:v>
      </x:c>
    </x:row>
    <x:row r="89" ht="60" customHeight="1">
      <x:c r="A89" s="39" t="str">
        <x:v>R1EA-085</x:v>
      </x:c>
      <x:c r="B89" s="40" t="str">
        <x:v>Ingest</x:v>
      </x:c>
      <x:c r="C89" s="40" t="str">
        <x:v>Conditional</x:v>
      </x:c>
      <x:c r="D89" s="40" t="str">
        <x:v>Water law</x:v>
      </x:c>
      <x:c r="E89" s="40" t="str">
        <x:v>CWA § 404 dredge/fill permit, 33 U.S.C. § 1344</x:v>
      </x:c>
      <x:c r="F89" s="40" t="str">
        <x:v>https://uscode.house.gov/view.xhtml?req=(title:33%20section:1344%20edition:prelim)</x:v>
      </x:c>
      <x:c r="G89" s="40" t="str">
        <x:v>Congress</x:v>
      </x:c>
      <x:c r="H89" s="40" t="str">
        <x:v>Statute section</x:v>
      </x:c>
      <x:c r="I89" s="40" t="str">
        <x:v>EAs with dredge/fill in waters of the U.S.</x:v>
      </x:c>
      <x:c r="J89" s="40" t="str">
        <x:v>Placement of dredged/fill material in jurisdictional waters/wetlands</x:v>
      </x:c>
      <x:c r="K89" s="40" t="str">
        <x:v>Check jurisdictional determination, NWP/regional/individual permit, conditions, mitigation</x:v>
      </x:c>
      <x:c r="L89" s="41" t="str">
        <x:v>Conditional</x:v>
      </x:c>
    </x:row>
    <x:row r="90" ht="60" customHeight="1">
      <x:c r="A90" s="39" t="str">
        <x:v>R1EA-086</x:v>
      </x:c>
      <x:c r="B90" s="40" t="str">
        <x:v>Ingest</x:v>
      </x:c>
      <x:c r="C90" s="40" t="str">
        <x:v>Conditional</x:v>
      </x:c>
      <x:c r="D90" s="40" t="str">
        <x:v>Water law</x:v>
      </x:c>
      <x:c r="E90" s="40" t="str">
        <x:v>Rivers and Harbors Act § 10, 33 U.S.C. § 403</x:v>
      </x:c>
      <x:c r="F90" s="40" t="str">
        <x:v>https://uscode.house.gov/view.xhtml?req=(title:33%20section:403%20edition:prelim)</x:v>
      </x:c>
      <x:c r="G90" s="40" t="str">
        <x:v>Congress</x:v>
      </x:c>
      <x:c r="H90" s="40" t="str">
        <x:v>Statute section</x:v>
      </x:c>
      <x:c r="I90" s="40" t="str">
        <x:v>EAs affecting navigable waters</x:v>
      </x:c>
      <x:c r="J90" s="40" t="str">
        <x:v>Structure or work in navigable waters</x:v>
      </x:c>
      <x:c r="K90" s="40" t="str">
        <x:v>Check Corps §10 permit or non-jurisdiction determination</x:v>
      </x:c>
      <x:c r="L90" s="41" t="str">
        <x:v>Conditional</x:v>
      </x:c>
    </x:row>
    <x:row r="91" ht="60" customHeight="1">
      <x:c r="A91" s="39" t="str">
        <x:v>R1EA-087</x:v>
      </x:c>
      <x:c r="B91" s="40" t="str">
        <x:v>Ingest</x:v>
      </x:c>
      <x:c r="C91" s="40" t="str">
        <x:v>Conditional</x:v>
      </x:c>
      <x:c r="D91" s="40" t="str">
        <x:v>Water regulation</x:v>
      </x:c>
      <x:c r="E91" s="40" t="str">
        <x:v>Corps Regulatory Program, 33 CFR part 320</x:v>
      </x:c>
      <x:c r="F91" s="40" t="str">
        <x:v>https://www.ecfr.gov/current/title-33/chapter-II/part-320</x:v>
      </x:c>
      <x:c r="G91" s="40" t="str">
        <x:v>U.S. Army Corps of Engineers</x:v>
      </x:c>
      <x:c r="H91" s="40" t="str">
        <x:v>Regulation</x:v>
      </x:c>
      <x:c r="I91" s="40" t="str">
        <x:v>EAs requiring Corps permits</x:v>
      </x:c>
      <x:c r="J91" s="40" t="str">
        <x:v>Project may require DA permit</x:v>
      </x:c>
      <x:c r="K91" s="40" t="str">
        <x:v>Check Corps permit process, public notice, evaluation factors, and status</x:v>
      </x:c>
      <x:c r="L91" s="41" t="str">
        <x:v>Conditional</x:v>
      </x:c>
    </x:row>
    <x:row r="92" ht="60" customHeight="1">
      <x:c r="A92" s="39" t="str">
        <x:v>R1EA-088</x:v>
      </x:c>
      <x:c r="B92" s="40" t="str">
        <x:v>Ingest</x:v>
      </x:c>
      <x:c r="C92" s="40" t="str">
        <x:v>Conditional</x:v>
      </x:c>
      <x:c r="D92" s="40" t="str">
        <x:v>Water regulation</x:v>
      </x:c>
      <x:c r="E92" s="40" t="str">
        <x:v>Corps §10 permits, 33 CFR part 322</x:v>
      </x:c>
      <x:c r="F92" s="40" t="str">
        <x:v>https://www.ecfr.gov/current/title-33/chapter-II/part-322</x:v>
      </x:c>
      <x:c r="G92" s="40" t="str">
        <x:v>U.S. Army Corps of Engineers</x:v>
      </x:c>
      <x:c r="H92" s="40" t="str">
        <x:v>Regulation</x:v>
      </x:c>
      <x:c r="I92" s="40" t="str">
        <x:v>EAs with navigable water work</x:v>
      </x:c>
      <x:c r="J92" s="40" t="str">
        <x:v>Rivers and Harbors Act §10 authorization needed</x:v>
      </x:c>
      <x:c r="K92" s="40" t="str">
        <x:v>Check permit type/status/conditions</x:v>
      </x:c>
      <x:c r="L92" s="41" t="str">
        <x:v>Conditional</x:v>
      </x:c>
    </x:row>
    <x:row r="93" ht="60" customHeight="1">
      <x:c r="A93" s="39" t="str">
        <x:v>R1EA-089</x:v>
      </x:c>
      <x:c r="B93" s="40" t="str">
        <x:v>Ingest</x:v>
      </x:c>
      <x:c r="C93" s="40" t="str">
        <x:v>Conditional</x:v>
      </x:c>
      <x:c r="D93" s="40" t="str">
        <x:v>Water regulation</x:v>
      </x:c>
      <x:c r="E93" s="40" t="str">
        <x:v>Corps §404 permits, 33 CFR part 323</x:v>
      </x:c>
      <x:c r="F93" s="40" t="str">
        <x:v>https://www.ecfr.gov/current/title-33/chapter-II/part-323</x:v>
      </x:c>
      <x:c r="G93" s="40" t="str">
        <x:v>U.S. Army Corps of Engineers</x:v>
      </x:c>
      <x:c r="H93" s="40" t="str">
        <x:v>Regulation</x:v>
      </x:c>
      <x:c r="I93" s="40" t="str">
        <x:v>EAs with dredged/fill material</x:v>
      </x:c>
      <x:c r="J93" s="40" t="str">
        <x:v>Discharge of dredged/fill material into waters of U.S.</x:v>
      </x:c>
      <x:c r="K93" s="40" t="str">
        <x:v>Check 404 permit or exemption/general permit</x:v>
      </x:c>
      <x:c r="L93" s="41" t="str">
        <x:v>Conditional</x:v>
      </x:c>
    </x:row>
    <x:row r="94" ht="60" customHeight="1">
      <x:c r="A94" s="39" t="str">
        <x:v>R1EA-090</x:v>
      </x:c>
      <x:c r="B94" s="40" t="str">
        <x:v>Ingest</x:v>
      </x:c>
      <x:c r="C94" s="40" t="str">
        <x:v>Conditional</x:v>
      </x:c>
      <x:c r="D94" s="40" t="str">
        <x:v>Water regulation</x:v>
      </x:c>
      <x:c r="E94" s="40" t="str">
        <x:v>Corps permit processing, 33 CFR part 325</x:v>
      </x:c>
      <x:c r="F94" s="40" t="str">
        <x:v>https://www.ecfr.gov/current/title-33/chapter-II/part-325</x:v>
      </x:c>
      <x:c r="G94" s="40" t="str">
        <x:v>U.S. Army Corps of Engineers</x:v>
      </x:c>
      <x:c r="H94" s="40" t="str">
        <x:v>Regulation</x:v>
      </x:c>
      <x:c r="I94" s="40" t="str">
        <x:v>EAs requiring Corps permit</x:v>
      </x:c>
      <x:c r="J94" s="40" t="str">
        <x:v>DA permit application processing</x:v>
      </x:c>
      <x:c r="K94" s="40" t="str">
        <x:v>Check application completeness, public notice, permit decision and conditions</x:v>
      </x:c>
      <x:c r="L94" s="41" t="str">
        <x:v>Conditional</x:v>
      </x:c>
    </x:row>
    <x:row r="95" ht="60" customHeight="1">
      <x:c r="A95" s="39" t="str">
        <x:v>R1EA-091</x:v>
      </x:c>
      <x:c r="B95" s="40" t="str">
        <x:v>Ingest</x:v>
      </x:c>
      <x:c r="C95" s="40" t="str">
        <x:v>Conditional</x:v>
      </x:c>
      <x:c r="D95" s="40" t="str">
        <x:v>Wildlife/water law</x:v>
      </x:c>
      <x:c r="E95" s="40" t="str">
        <x:v>Fish and Wildlife Coordination Act, 16 U.S.C. chapter 5A</x:v>
      </x:c>
      <x:c r="F95" s="40" t="str">
        <x:v>https://uscode.house.gov/view.xhtml?path=/prelim@title16/chapter5A&amp;edition=prelim</x:v>
      </x:c>
      <x:c r="G95" s="40" t="str">
        <x:v>Congress</x:v>
      </x:c>
      <x:c r="H95" s="40" t="str">
        <x:v>Statute chapter</x:v>
      </x:c>
      <x:c r="I95" s="40" t="str">
        <x:v>Waterbody modification EAs</x:v>
      </x:c>
      <x:c r="J95" s="40" t="str">
        <x:v>Federal action modifies/controls waters of a stream or body of water</x:v>
      </x:c>
      <x:c r="K95" s="40" t="str">
        <x:v>Check FWS and state fish/wildlife consultation and treatment of recommendations</x:v>
      </x:c>
      <x:c r="L95" s="41" t="str">
        <x:v>Conditional</x:v>
      </x:c>
    </x:row>
    <x:row r="96" ht="60" customHeight="1">
      <x:c r="A96" s="39" t="str">
        <x:v>R1EA-092</x:v>
      </x:c>
      <x:c r="B96" s="40" t="str">
        <x:v>Ingest</x:v>
      </x:c>
      <x:c r="C96" s="40" t="str">
        <x:v>Conditional</x:v>
      </x:c>
      <x:c r="D96" s="40" t="str">
        <x:v>Air law</x:v>
      </x:c>
      <x:c r="E96" s="40" t="str">
        <x:v>Clean Air Act, 42 U.S.C. chapter 85</x:v>
      </x:c>
      <x:c r="F96" s="40" t="str">
        <x:v>https://uscode.house.gov/view.xhtml?path=/prelim@title42/chapter85&amp;edition=prelim</x:v>
      </x:c>
      <x:c r="G96" s="40" t="str">
        <x:v>Congress</x:v>
      </x:c>
      <x:c r="H96" s="40" t="str">
        <x:v>Statute chapter</x:v>
      </x:c>
      <x:c r="I96" s="40" t="str">
        <x:v>EAs with emissions, smoke, or dust</x:v>
      </x:c>
      <x:c r="J96" s="40" t="str">
        <x:v>Project causes emissions or prescribed fire smoke; located in nonattainment/maintenance area</x:v>
      </x:c>
      <x:c r="K96" s="40" t="str">
        <x:v>Check air-quality analysis, general conformity, smoke management, SIP consistency</x:v>
      </x:c>
      <x:c r="L96" s="41" t="str">
        <x:v>Conditional</x:v>
      </x:c>
    </x:row>
    <x:row r="97" ht="60" customHeight="1">
      <x:c r="A97" s="39" t="str">
        <x:v>R1EA-093</x:v>
      </x:c>
      <x:c r="B97" s="40" t="str">
        <x:v>Ingest</x:v>
      </x:c>
      <x:c r="C97" s="40" t="str">
        <x:v>Conditional</x:v>
      </x:c>
      <x:c r="D97" s="40" t="str">
        <x:v>Air regulation</x:v>
      </x:c>
      <x:c r="E97" s="40" t="str">
        <x:v>General Conformity, 40 CFR part 93 subpart B</x:v>
      </x:c>
      <x:c r="F97" s="40" t="str">
        <x:v>https://www.ecfr.gov/current/title-40/chapter-I/subchapter-C/part-93/subpart-B</x:v>
      </x:c>
      <x:c r="G97" s="40" t="str">
        <x:v>EPA</x:v>
      </x:c>
      <x:c r="H97" s="40" t="str">
        <x:v>Regulation</x:v>
      </x:c>
      <x:c r="I97" s="40" t="str">
        <x:v>EAs in nonattainment/maintenance areas with emissions</x:v>
      </x:c>
      <x:c r="J97" s="40" t="str">
        <x:v>Federal action emits criteria pollutants or precursors</x:v>
      </x:c>
      <x:c r="K97" s="40" t="str">
        <x:v>Check applicability, de minimis thresholds, emissions inventory, conformity determination if required</x:v>
      </x:c>
      <x:c r="L97" s="41" t="str">
        <x:v>Conditional</x:v>
      </x:c>
    </x:row>
    <x:row r="98" ht="60" customHeight="1">
      <x:c r="A98" s="39" t="str">
        <x:v>R1EA-094</x:v>
      </x:c>
      <x:c r="B98" s="40" t="str">
        <x:v>Ingest</x:v>
      </x:c>
      <x:c r="C98" s="40" t="str">
        <x:v>Conditional</x:v>
      </x:c>
      <x:c r="D98" s="40" t="str">
        <x:v>Bird law</x:v>
      </x:c>
      <x:c r="E98" s="40" t="str">
        <x:v>Migratory Bird Treaty Act, 16 U.S.C. § 703</x:v>
      </x:c>
      <x:c r="F98" s="40" t="str">
        <x:v>https://uscode.house.gov/view.xhtml?req=(title:16%20section:703%20edition:prelim)</x:v>
      </x:c>
      <x:c r="G98" s="40" t="str">
        <x:v>Congress</x:v>
      </x:c>
      <x:c r="H98" s="40" t="str">
        <x:v>Statute section</x:v>
      </x:c>
      <x:c r="I98" s="40" t="str">
        <x:v>EAs affecting migratory birds/nests</x:v>
      </x:c>
      <x:c r="J98" s="40" t="str">
        <x:v>Vegetation removal, construction, fire, infrastructure, habitat changes</x:v>
      </x:c>
      <x:c r="K98" s="40" t="str">
        <x:v>Check avoidance/minimization, nesting timing, surveys, and permit if take cannot be avoided</x:v>
      </x:c>
      <x:c r="L98" s="41" t="str">
        <x:v>Conditional</x:v>
      </x:c>
    </x:row>
    <x:row r="99" ht="60" customHeight="1">
      <x:c r="A99" s="39" t="str">
        <x:v>R1EA-095</x:v>
      </x:c>
      <x:c r="B99" s="40" t="str">
        <x:v>Ingest</x:v>
      </x:c>
      <x:c r="C99" s="40" t="str">
        <x:v>Conditional</x:v>
      </x:c>
      <x:c r="D99" s="40" t="str">
        <x:v>Bird regulation</x:v>
      </x:c>
      <x:c r="E99" s="40" t="str">
        <x:v>Migratory bird permits, 50 CFR part 21</x:v>
      </x:c>
      <x:c r="F99" s="40" t="str">
        <x:v>https://www.ecfr.gov/current/title-50/chapter-I/subchapter-B/part-21</x:v>
      </x:c>
      <x:c r="G99" s="40" t="str">
        <x:v>FWS</x:v>
      </x:c>
      <x:c r="H99" s="40" t="str">
        <x:v>Regulation</x:v>
      </x:c>
      <x:c r="I99" s="40" t="str">
        <x:v>EAs with possible migratory bird take</x:v>
      </x:c>
      <x:c r="J99" s="40" t="str">
        <x:v>MBTA permit may be required</x:v>
      </x:c>
      <x:c r="K99" s="40" t="str">
        <x:v>Check permit type, conditions, and avoidance measures</x:v>
      </x:c>
      <x:c r="L99" s="41" t="str">
        <x:v>Conditional</x:v>
      </x:c>
    </x:row>
    <x:row r="100" ht="60" customHeight="1">
      <x:c r="A100" s="39" t="str">
        <x:v>R1EA-096</x:v>
      </x:c>
      <x:c r="B100" s="40" t="str">
        <x:v>Ingest</x:v>
      </x:c>
      <x:c r="C100" s="40" t="str">
        <x:v>Conditional</x:v>
      </x:c>
      <x:c r="D100" s="40" t="str">
        <x:v>Bird policy</x:v>
      </x:c>
      <x:c r="E100" s="40" t="str">
        <x:v>Executive Order 13186 - Responsibilities of Federal Agencies to Protect Migratory Birds</x:v>
      </x:c>
      <x:c r="F100" s="40" t="str">
        <x:v>https://www.federalregister.gov/documents/2001/01/17/01-1387/responsibilities-of-federal-agencies-to-protect-migratory-birds</x:v>
      </x:c>
      <x:c r="G100" s="40" t="str">
        <x:v>President</x:v>
      </x:c>
      <x:c r="H100" s="40" t="str">
        <x:v>Executive Order</x:v>
      </x:c>
      <x:c r="I100" s="40" t="str">
        <x:v>EAs affecting migratory birds</x:v>
      </x:c>
      <x:c r="J100" s="40" t="str">
        <x:v>Federal action may affect migratory birds</x:v>
      </x:c>
      <x:c r="K100" s="40" t="str">
        <x:v>Check conservation/avoidance measures and consistency with agency migratory-bird obligations</x:v>
      </x:c>
      <x:c r="L100" s="41" t="str">
        <x:v>Conditional</x:v>
      </x:c>
    </x:row>
    <x:row r="101" ht="60" customHeight="1">
      <x:c r="A101" s="39" t="str">
        <x:v>R1EA-097</x:v>
      </x:c>
      <x:c r="B101" s="40" t="str">
        <x:v>Ingest</x:v>
      </x:c>
      <x:c r="C101" s="40" t="str">
        <x:v>Conditional</x:v>
      </x:c>
      <x:c r="D101" s="40" t="str">
        <x:v>Eagle law</x:v>
      </x:c>
      <x:c r="E101" s="40" t="str">
        <x:v>Bald and Golden Eagle Protection Act, 16 U.S.C. § 668</x:v>
      </x:c>
      <x:c r="F101" s="40" t="str">
        <x:v>https://uscode.house.gov/view.xhtml?req=(title:16%20section:668%20edition:prelim)</x:v>
      </x:c>
      <x:c r="G101" s="40" t="str">
        <x:v>Congress</x:v>
      </x:c>
      <x:c r="H101" s="40" t="str">
        <x:v>Statute section</x:v>
      </x:c>
      <x:c r="I101" s="40" t="str">
        <x:v>EAs affecting bald/golden eagles or nests</x:v>
      </x:c>
      <x:c r="J101" s="40" t="str">
        <x:v>Project may take/disturb eagles/nests</x:v>
      </x:c>
      <x:c r="K101" s="40" t="str">
        <x:v>Check surveys, avoidance buffers, FWS coordination, and eagle permit if needed</x:v>
      </x:c>
      <x:c r="L101" s="41" t="str">
        <x:v>Conditional</x:v>
      </x:c>
    </x:row>
    <x:row r="102" ht="60" customHeight="1">
      <x:c r="A102" s="39" t="str">
        <x:v>R1EA-098</x:v>
      </x:c>
      <x:c r="B102" s="40" t="str">
        <x:v>Ingest</x:v>
      </x:c>
      <x:c r="C102" s="40" t="str">
        <x:v>Conditional</x:v>
      </x:c>
      <x:c r="D102" s="40" t="str">
        <x:v>Eagle regulation</x:v>
      </x:c>
      <x:c r="E102" s="40" t="str">
        <x:v>Eagle permits, 50 CFR part 22</x:v>
      </x:c>
      <x:c r="F102" s="40" t="str">
        <x:v>https://www.ecfr.gov/current/title-50/chapter-I/subchapter-B/part-22</x:v>
      </x:c>
      <x:c r="G102" s="40" t="str">
        <x:v>FWS</x:v>
      </x:c>
      <x:c r="H102" s="40" t="str">
        <x:v>Regulation</x:v>
      </x:c>
      <x:c r="I102" s="40" t="str">
        <x:v>EAs affecting eagles</x:v>
      </x:c>
      <x:c r="J102" s="40" t="str">
        <x:v>Take/disturbance/nest removal may occur</x:v>
      </x:c>
      <x:c r="K102" s="40" t="str">
        <x:v>Check permit application/status/conditions and monitoring</x:v>
      </x:c>
      <x:c r="L102" s="41" t="str">
        <x:v>Conditional</x:v>
      </x:c>
    </x:row>
    <x:row r="103" ht="60" customHeight="1">
      <x:c r="A103" s="39" t="str">
        <x:v>R1EA-099</x:v>
      </x:c>
      <x:c r="B103" s="40" t="str">
        <x:v>Ingest</x:v>
      </x:c>
      <x:c r="C103" s="40" t="str">
        <x:v>Conditional</x:v>
      </x:c>
      <x:c r="D103" s="40" t="str">
        <x:v>Fish law</x:v>
      </x:c>
      <x:c r="E103" s="40" t="str">
        <x:v>Magnuson-Stevens Act essential fish habitat, 16 U.S.C. § 1855</x:v>
      </x:c>
      <x:c r="F103" s="40" t="str">
        <x:v>https://uscode.house.gov/view.xhtml?req=(title:16%20section:1855%20edition:prelim)</x:v>
      </x:c>
      <x:c r="G103" s="40" t="str">
        <x:v>Congress</x:v>
      </x:c>
      <x:c r="H103" s="40" t="str">
        <x:v>Statute section</x:v>
      </x:c>
      <x:c r="I103" s="40" t="str">
        <x:v>EAs affecting EFH, including anadromous fish habitats in Idaho/Columbia Basin drainages</x:v>
      </x:c>
      <x:c r="J103" s="40" t="str">
        <x:v>Action may adversely affect EFH</x:v>
      </x:c>
      <x:c r="K103" s="40" t="str">
        <x:v>Check EFH assessment, NMFS consultation, conservation recommendations, and written response</x:v>
      </x:c>
      <x:c r="L103" s="41" t="str">
        <x:v>Conditional; inland R1 trigger only where EFH exists</x:v>
      </x:c>
    </x:row>
    <x:row r="104" ht="60" customHeight="1">
      <x:c r="A104" s="39" t="str">
        <x:v>R1EA-100</x:v>
      </x:c>
      <x:c r="B104" s="40" t="str">
        <x:v>Ingest</x:v>
      </x:c>
      <x:c r="C104" s="40" t="str">
        <x:v>Conditional</x:v>
      </x:c>
      <x:c r="D104" s="40" t="str">
        <x:v>Fish regulation</x:v>
      </x:c>
      <x:c r="E104" s="40" t="str">
        <x:v>EFH consultation regulations, 50 CFR part 600 subpart K</x:v>
      </x:c>
      <x:c r="F104" s="40" t="str">
        <x:v>https://www.ecfr.gov/current/title-50/chapter-VI/part-600/subpart-K</x:v>
      </x:c>
      <x:c r="G104" s="40" t="str">
        <x:v>NMFS</x:v>
      </x:c>
      <x:c r="H104" s="40" t="str">
        <x:v>Regulation</x:v>
      </x:c>
      <x:c r="I104" s="40" t="str">
        <x:v>EAs affecting EFH</x:v>
      </x:c>
      <x:c r="J104" s="40" t="str">
        <x:v>EFH consultation required</x:v>
      </x:c>
      <x:c r="K104" s="40" t="str">
        <x:v>Check assessment content and consultation timing</x:v>
      </x:c>
      <x:c r="L104" s="41" t="str">
        <x:v>Conditional</x:v>
      </x:c>
    </x:row>
    <x:row r="105" ht="60" customHeight="1">
      <x:c r="A105" s="39" t="str">
        <x:v>R1EA-101</x:v>
      </x:c>
      <x:c r="B105" s="40" t="str">
        <x:v>Ingest</x:v>
      </x:c>
      <x:c r="C105" s="40" t="str">
        <x:v>Conditional</x:v>
      </x:c>
      <x:c r="D105" s="40" t="str">
        <x:v>Farmland law</x:v>
      </x:c>
      <x:c r="E105" s="40" t="str">
        <x:v>Farmland Protection Policy Act, 7 U.S.C. chapter 73</x:v>
      </x:c>
      <x:c r="F105" s="40" t="str">
        <x:v>https://uscode.house.gov/view.xhtml?path=/prelim@title7/chapter73&amp;edition=prelim</x:v>
      </x:c>
      <x:c r="G105" s="40" t="str">
        <x:v>Congress</x:v>
      </x:c>
      <x:c r="H105" s="40" t="str">
        <x:v>Statute chapter</x:v>
      </x:c>
      <x:c r="I105" s="40" t="str">
        <x:v>EAs converting important farmland</x:v>
      </x:c>
      <x:c r="J105" s="40" t="str">
        <x:v>Federal action may irreversibly convert prime, unique, statewide/local important farmland</x:v>
      </x:c>
      <x:c r="K105" s="40" t="str">
        <x:v>Check NRCS farmland conversion assessment/score and alternatives to minimize conversion</x:v>
      </x:c>
      <x:c r="L105" s="41" t="str">
        <x:v>Conditional; more likely on grasslands/peripheral sites</x:v>
      </x:c>
    </x:row>
    <x:row r="106" ht="60" customHeight="1">
      <x:c r="A106" s="39" t="str">
        <x:v>R1EA-102</x:v>
      </x:c>
      <x:c r="B106" s="40" t="str">
        <x:v>Ingest</x:v>
      </x:c>
      <x:c r="C106" s="40" t="str">
        <x:v>Conditional</x:v>
      </x:c>
      <x:c r="D106" s="40" t="str">
        <x:v>Farmland regulation</x:v>
      </x:c>
      <x:c r="E106" s="40" t="str">
        <x:v>Farmland Protection Policy Act regulations, 7 CFR part 658</x:v>
      </x:c>
      <x:c r="F106" s="40" t="str">
        <x:v>https://www.ecfr.gov/current/title-7/subtitle-B/chapter-VI/subchapter-F/part-658</x:v>
      </x:c>
      <x:c r="G106" s="40" t="str">
        <x:v>NRCS</x:v>
      </x:c>
      <x:c r="H106" s="40" t="str">
        <x:v>Regulation</x:v>
      </x:c>
      <x:c r="I106" s="40" t="str">
        <x:v>EAs converting important farmland</x:v>
      </x:c>
      <x:c r="J106" s="40" t="str">
        <x:v>FPPA triggered</x:v>
      </x:c>
      <x:c r="K106" s="40" t="str">
        <x:v>Check Form AD-1006/CPA-106 or equivalent, score, and minimization measures</x:v>
      </x:c>
      <x:c r="L106" s="41" t="str">
        <x:v>Conditional</x:v>
      </x:c>
    </x:row>
    <x:row r="107" ht="60" customHeight="1">
      <x:c r="A107" s="39" t="str">
        <x:v>R1EA-103</x:v>
      </x:c>
      <x:c r="B107" s="40" t="str">
        <x:v>Ingest</x:v>
      </x:c>
      <x:c r="C107" s="40" t="str">
        <x:v>Conditional</x:v>
      </x:c>
      <x:c r="D107" s="40" t="str">
        <x:v>Floodplain EO</x:v>
      </x:c>
      <x:c r="E107" s="40" t="str">
        <x:v>Executive Order 11988 - Floodplain Management</x:v>
      </x:c>
      <x:c r="F107" s="40" t="str">
        <x:v>https://www.archives.gov/federal-register/codification/executive-order/11988.html</x:v>
      </x:c>
      <x:c r="G107" s="40" t="str">
        <x:v>President</x:v>
      </x:c>
      <x:c r="H107" s="40" t="str">
        <x:v>Executive Order</x:v>
      </x:c>
      <x:c r="I107" s="40" t="str">
        <x:v>EAs in or affecting floodplains</x:v>
      </x:c>
      <x:c r="J107" s="40" t="str">
        <x:v>Project occupies, alters, or affects floodplain</x:v>
      </x:c>
      <x:c r="K107" s="40" t="str">
        <x:v>Check floodplain identification, alternatives, avoidance/minimization, and public explanation where needed</x:v>
      </x:c>
      <x:c r="L107" s="41" t="str">
        <x:v>Conditional</x:v>
      </x:c>
    </x:row>
    <x:row r="108" ht="60" customHeight="1">
      <x:c r="A108" s="39" t="str">
        <x:v>R1EA-104</x:v>
      </x:c>
      <x:c r="B108" s="40" t="str">
        <x:v>Ingest</x:v>
      </x:c>
      <x:c r="C108" s="40" t="str">
        <x:v>Conditional</x:v>
      </x:c>
      <x:c r="D108" s="40" t="str">
        <x:v>Wetlands EO</x:v>
      </x:c>
      <x:c r="E108" s="40" t="str">
        <x:v>Executive Order 11990 - Protection of Wetlands</x:v>
      </x:c>
      <x:c r="F108" s="40" t="str">
        <x:v>https://www.epa.gov/cwa-404/protection-wetlands-executive-order-11990</x:v>
      </x:c>
      <x:c r="G108" s="40" t="str">
        <x:v>President</x:v>
      </x:c>
      <x:c r="H108" s="40" t="str">
        <x:v>Executive Order</x:v>
      </x:c>
      <x:c r="I108" s="40" t="str">
        <x:v>EAs affecting wetlands</x:v>
      </x:c>
      <x:c r="J108" s="40" t="str">
        <x:v>Action may destroy, degrade, drain, fill, or otherwise affect wetlands</x:v>
      </x:c>
      <x:c r="K108" s="40" t="str">
        <x:v>Check wetland delineation, alternatives, minimization, mitigation, and natural/beneficial values</x:v>
      </x:c>
      <x:c r="L108" s="41" t="str">
        <x:v>Conditional</x:v>
      </x:c>
    </x:row>
    <x:row r="109" ht="60" customHeight="1">
      <x:c r="A109" s="39" t="str">
        <x:v>R1EA-105</x:v>
      </x:c>
      <x:c r="B109" s="40" t="str">
        <x:v>Ingest</x:v>
      </x:c>
      <x:c r="C109" s="40" t="str">
        <x:v>Conditional</x:v>
      </x:c>
      <x:c r="D109" s="40" t="str">
        <x:v>Drinking water law</x:v>
      </x:c>
      <x:c r="E109" s="40" t="str">
        <x:v>Safe Drinking Water Act, 42 U.S.C. chapter 6A subchapter XII</x:v>
      </x:c>
      <x:c r="F109" s="40" t="str">
        <x:v>https://uscode.house.gov/view.xhtml?path=/prelim@title42/chapter6A/subchapter12&amp;edition=prelim</x:v>
      </x:c>
      <x:c r="G109" s="40" t="str">
        <x:v>Congress</x:v>
      </x:c>
      <x:c r="H109" s="40" t="str">
        <x:v>Statute subchapter</x:v>
      </x:c>
      <x:c r="I109" s="40" t="str">
        <x:v>EAs affecting public water systems, source-water areas, wells, or injection</x:v>
      </x:c>
      <x:c r="J109" s="40" t="str">
        <x:v>Project may affect drinking water/source water or involve UIC</x:v>
      </x:c>
      <x:c r="K109" s="40" t="str">
        <x:v>Check public water system/source water/wellhead considerations, sole-source aquifer if any, and UIC requirements</x:v>
      </x:c>
      <x:c r="L109" s="41" t="str">
        <x:v>Conditional</x:v>
      </x:c>
    </x:row>
    <x:row r="110" ht="60" customHeight="1">
      <x:c r="A110" s="39" t="str">
        <x:v>R1EA-106</x:v>
      </x:c>
      <x:c r="B110" s="40" t="str">
        <x:v>Ingest</x:v>
      </x:c>
      <x:c r="C110" s="40" t="str">
        <x:v>Conditional</x:v>
      </x:c>
      <x:c r="D110" s="40" t="str">
        <x:v>Drinking water regulation</x:v>
      </x:c>
      <x:c r="E110" s="40" t="str">
        <x:v>UIC program, 40 CFR part 144</x:v>
      </x:c>
      <x:c r="F110" s="40" t="str">
        <x:v>https://www.ecfr.gov/current/title-40/chapter-I/subchapter-D/part-144</x:v>
      </x:c>
      <x:c r="G110" s="40" t="str">
        <x:v>EPA</x:v>
      </x:c>
      <x:c r="H110" s="40" t="str">
        <x:v>Regulation</x:v>
      </x:c>
      <x:c r="I110" s="40" t="str">
        <x:v>EAs involving underground injection</x:v>
      </x:c>
      <x:c r="J110" s="40" t="str">
        <x:v>Injection well or subsurface fluid emplacement</x:v>
      </x:c>
      <x:c r="K110" s="40" t="str">
        <x:v>Check UIC permit/authorization and prevention of movement into underground sources of drinking water</x:v>
      </x:c>
      <x:c r="L110" s="41" t="str">
        <x:v>Conditional</x:v>
      </x:c>
    </x:row>
    <x:row r="111" ht="60" customHeight="1">
      <x:c r="A111" s="39" t="str">
        <x:v>R1EA-107</x:v>
      </x:c>
      <x:c r="B111" s="40" t="str">
        <x:v>Ingest</x:v>
      </x:c>
      <x:c r="C111" s="40" t="str">
        <x:v>Conditional</x:v>
      </x:c>
      <x:c r="D111" s="40" t="str">
        <x:v>Hazardous materials law</x:v>
      </x:c>
      <x:c r="E111" s="40" t="str">
        <x:v>Resource Conservation and Recovery Act, 42 U.S.C. chapter 82</x:v>
      </x:c>
      <x:c r="F111" s="40" t="str">
        <x:v>https://uscode.house.gov/view.xhtml?path=/prelim@title42/chapter82&amp;edition=prelim</x:v>
      </x:c>
      <x:c r="G111" s="40" t="str">
        <x:v>Congress</x:v>
      </x:c>
      <x:c r="H111" s="40" t="str">
        <x:v>Statute chapter</x:v>
      </x:c>
      <x:c r="I111" s="40" t="str">
        <x:v>EAs with hazardous waste/solid waste</x:v>
      </x:c>
      <x:c r="J111" s="40" t="str">
        <x:v>Project generates, stores, treats, transports, or disposes of hazardous/solid waste</x:v>
      </x:c>
      <x:c r="K111" s="40" t="str">
        <x:v>Check waste classification, handling, disposal, corrective action, and state/federal requirements</x:v>
      </x:c>
      <x:c r="L111" s="41" t="str">
        <x:v>Conditional</x:v>
      </x:c>
    </x:row>
    <x:row r="112" ht="60" customHeight="1">
      <x:c r="A112" s="39" t="str">
        <x:v>R1EA-108</x:v>
      </x:c>
      <x:c r="B112" s="40" t="str">
        <x:v>Ingest</x:v>
      </x:c>
      <x:c r="C112" s="40" t="str">
        <x:v>Conditional</x:v>
      </x:c>
      <x:c r="D112" s="40" t="str">
        <x:v>Hazardous substances law</x:v>
      </x:c>
      <x:c r="E112" s="40" t="str">
        <x:v>CERCLA, 42 U.S.C. chapter 103</x:v>
      </x:c>
      <x:c r="F112" s="40" t="str">
        <x:v>https://uscode.house.gov/view.xhtml?path=/prelim@title42/chapter103&amp;edition=prelim</x:v>
      </x:c>
      <x:c r="G112" s="40" t="str">
        <x:v>Congress</x:v>
      </x:c>
      <x:c r="H112" s="40" t="str">
        <x:v>Statute chapter</x:v>
      </x:c>
      <x:c r="I112" s="40" t="str">
        <x:v>EAs on contaminated sites or involving releases</x:v>
      </x:c>
      <x:c r="J112" s="40" t="str">
        <x:v>Known/suspected hazardous substance release, cleanup, or exposure pathway</x:v>
      </x:c>
      <x:c r="K112" s="40" t="str">
        <x:v>Check site assessment, response action, coordination, and liability/landowner issues</x:v>
      </x:c>
      <x:c r="L112" s="41" t="str">
        <x:v>Conditional</x:v>
      </x:c>
    </x:row>
    <x:row r="113" ht="60" customHeight="1">
      <x:c r="A113" s="39" t="str">
        <x:v>R1EA-109</x:v>
      </x:c>
      <x:c r="B113" s="40" t="str">
        <x:v>Ingest</x:v>
      </x:c>
      <x:c r="C113" s="40" t="str">
        <x:v>Conditional</x:v>
      </x:c>
      <x:c r="D113" s="40" t="str">
        <x:v>Hazardous substances regulation</x:v>
      </x:c>
      <x:c r="E113" s="40" t="str">
        <x:v>National Contingency Plan, 40 CFR part 300</x:v>
      </x:c>
      <x:c r="F113" s="40" t="str">
        <x:v>https://www.ecfr.gov/current/title-40/chapter-I/subchapter-J/part-300</x:v>
      </x:c>
      <x:c r="G113" s="40" t="str">
        <x:v>EPA</x:v>
      </x:c>
      <x:c r="H113" s="40" t="str">
        <x:v>Regulation</x:v>
      </x:c>
      <x:c r="I113" s="40" t="str">
        <x:v>EAs involving cleanup/spills/releases</x:v>
      </x:c>
      <x:c r="J113" s="40" t="str">
        <x:v>CERCLA/NCP response action or spill response relevance</x:v>
      </x:c>
      <x:c r="K113" s="40" t="str">
        <x:v>Check response coordination, removal/remedial process, and documentation of controls</x:v>
      </x:c>
      <x:c r="L113" s="41" t="str">
        <x:v>Conditional</x:v>
      </x:c>
    </x:row>
    <x:row r="114" ht="60" customHeight="1">
      <x:c r="A114" s="39" t="str">
        <x:v>R1EA-110</x:v>
      </x:c>
      <x:c r="B114" s="40" t="str">
        <x:v>Ingest</x:v>
      </x:c>
      <x:c r="C114" s="40" t="str">
        <x:v>Conditional</x:v>
      </x:c>
      <x:c r="D114" s="40" t="str">
        <x:v>Pesticide law</x:v>
      </x:c>
      <x:c r="E114" s="40" t="str">
        <x:v>FIFRA, 7 U.S.C. chapter 6</x:v>
      </x:c>
      <x:c r="F114" s="40" t="str">
        <x:v>https://uscode.house.gov/view.xhtml?path=/prelim@title7/chapter6&amp;edition=prelim</x:v>
      </x:c>
      <x:c r="G114" s="40" t="str">
        <x:v>Congress</x:v>
      </x:c>
      <x:c r="H114" s="40" t="str">
        <x:v>Statute chapter</x:v>
      </x:c>
      <x:c r="I114" s="40" t="str">
        <x:v>EAs using pesticides/herbicides/insecticides/rodenticides/fungicides</x:v>
      </x:c>
      <x:c r="J114" s="40" t="str">
        <x:v>Chemical application or authorization</x:v>
      </x:c>
      <x:c r="K114" s="40" t="str">
        <x:v>Check EPA registration, label restrictions, application methods, site limitations, risk analysis, and monitoring</x:v>
      </x:c>
      <x:c r="L114" s="41" t="str">
        <x:v>Conditional</x:v>
      </x:c>
    </x:row>
    <x:row r="115" ht="60" customHeight="1">
      <x:c r="A115" s="39" t="str">
        <x:v>R1EA-111</x:v>
      </x:c>
      <x:c r="B115" s="40" t="str">
        <x:v>Ingest</x:v>
      </x:c>
      <x:c r="C115" s="40" t="str">
        <x:v>Conditional</x:v>
      </x:c>
      <x:c r="D115" s="40" t="str">
        <x:v>Pesticide guidance</x:v>
      </x:c>
      <x:c r="E115" s="40" t="str">
        <x:v>EPA FIFRA and federal facilities page</x:v>
      </x:c>
      <x:c r="F115" s="40" t="str">
        <x:v>https://www.epa.gov/enforcement/federal-insecticide-fungicide-and-rodenticide-act-fifra-and-federal-facilities</x:v>
      </x:c>
      <x:c r="G115" s="40" t="str">
        <x:v>EPA</x:v>
      </x:c>
      <x:c r="H115" s="40" t="str">
        <x:v>Agency guidance page</x:v>
      </x:c>
      <x:c r="I115" s="40" t="str">
        <x:v>EAs using pesticides/herbicides</x:v>
      </x:c>
      <x:c r="J115" s="40" t="str">
        <x:v>FIFRA compliance confirmation</x:v>
      </x:c>
      <x:c r="K115" s="40" t="str">
        <x:v>Check label-is-law obligations and federal-facility considerations; use with product labels and project herbicide report</x:v>
      </x:c>
      <x:c r="L115" s="41" t="str">
        <x:v>Conditional</x:v>
      </x:c>
    </x:row>
    <x:row r="116" ht="60" customHeight="1">
      <x:c r="A116" s="39" t="str">
        <x:v>R1EA-112</x:v>
      </x:c>
      <x:c r="B116" s="40" t="str">
        <x:v>Ingest</x:v>
      </x:c>
      <x:c r="C116" s="40" t="str">
        <x:v>Conditional</x:v>
      </x:c>
      <x:c r="D116" s="40" t="str">
        <x:v>Invasive species EO</x:v>
      </x:c>
      <x:c r="E116" s="40" t="str">
        <x:v>Executive Order 13112 as amended by EO 13751 - Invasive species</x:v>
      </x:c>
      <x:c r="F116" s="40" t="str">
        <x:v>https://www.federalregister.gov/documents/2016/12/08/2016-29519/safeguarding-the-nation-from-the-impacts-of-invasive-species</x:v>
      </x:c>
      <x:c r="G116" s="40" t="str">
        <x:v>President</x:v>
      </x:c>
      <x:c r="H116" s="40" t="str">
        <x:v>Executive Order</x:v>
      </x:c>
      <x:c r="I116" s="40" t="str">
        <x:v>EAs that may introduce/spread/control invasive species</x:v>
      </x:c>
      <x:c r="J116" s="40" t="str">
        <x:v>Project includes ground disturbance, vegetation, roads/trails, grazing, fire, restoration, or invasive control</x:v>
      </x:c>
      <x:c r="K116" s="40" t="str">
        <x:v>Check prevention, cleaning, seed/mulch, treatment, monitoring, native restoration, and weed-risk measures</x:v>
      </x:c>
      <x:c r="L116" s="41" t="str">
        <x:v>Conditional but common</x:v>
      </x:c>
    </x:row>
    <x:row r="117" ht="60" customHeight="1">
      <x:c r="A117" s="39" t="str">
        <x:v>R1EA-113</x:v>
      </x:c>
      <x:c r="B117" s="40" t="str">
        <x:v>Ingest</x:v>
      </x:c>
      <x:c r="C117" s="40" t="str">
        <x:v>Conditional</x:v>
      </x:c>
      <x:c r="D117" s="40" t="str">
        <x:v>Paleontology law</x:v>
      </x:c>
      <x:c r="E117" s="40" t="str">
        <x:v>Paleontological Resources Preservation Act, 16 U.S.C. §§ 470aaa et seq.</x:v>
      </x:c>
      <x:c r="F117" s="40" t="str">
        <x:v>https://uscode.house.gov/view.xhtml?req=(title:16%20section:470aaa%20edition:prelim)</x:v>
      </x:c>
      <x:c r="G117" s="40" t="str">
        <x:v>Congress</x:v>
      </x:c>
      <x:c r="H117" s="40" t="str">
        <x:v>Statute section</x:v>
      </x:c>
      <x:c r="I117" s="40" t="str">
        <x:v>EAs with fossil resource potential</x:v>
      </x:c>
      <x:c r="J117" s="40" t="str">
        <x:v>Ground disturbance in fossil-bearing units or known fossil resources</x:v>
      </x:c>
      <x:c r="K117" s="40" t="str">
        <x:v>Check survey, permits, confidentiality, curation, and monitoring if required</x:v>
      </x:c>
      <x:c r="L117" s="41" t="str">
        <x:v>Conditional</x:v>
      </x:c>
    </x:row>
    <x:row r="118" ht="60" customHeight="1">
      <x:c r="A118" s="39" t="str">
        <x:v>R1EA-114</x:v>
      </x:c>
      <x:c r="B118" s="40" t="str">
        <x:v>Ingest</x:v>
      </x:c>
      <x:c r="C118" s="40" t="str">
        <x:v>Conditional</x:v>
      </x:c>
      <x:c r="D118" s="40" t="str">
        <x:v>Cave law</x:v>
      </x:c>
      <x:c r="E118" s="40" t="str">
        <x:v>Federal Cave Resources Protection Act, 16 U.S.C. chapter 63</x:v>
      </x:c>
      <x:c r="F118" s="40" t="str">
        <x:v>https://uscode.house.gov/view.xhtml?path=/prelim@title16/chapter63&amp;edition=prelim</x:v>
      </x:c>
      <x:c r="G118" s="40" t="str">
        <x:v>Congress</x:v>
      </x:c>
      <x:c r="H118" s="40" t="str">
        <x:v>Statute chapter</x:v>
      </x:c>
      <x:c r="I118" s="40" t="str">
        <x:v>EAs affecting significant caves</x:v>
      </x:c>
      <x:c r="J118" s="40" t="str">
        <x:v>Project may affect caves, karst, or cave-location confidentiality</x:v>
      </x:c>
      <x:c r="K118" s="40" t="str">
        <x:v>Check significant cave list/confidentiality and protection measures</x:v>
      </x:c>
      <x:c r="L118" s="41" t="str">
        <x:v>Conditional</x:v>
      </x:c>
    </x:row>
    <x:row r="119" ht="60" customHeight="1">
      <x:c r="A119" s="39" t="str">
        <x:v>R1EA-115</x:v>
      </x:c>
      <x:c r="B119" s="40" t="str">
        <x:v>Ingest</x:v>
      </x:c>
      <x:c r="C119" s="40" t="str">
        <x:v>Conditional</x:v>
      </x:c>
      <x:c r="D119" s="40" t="str">
        <x:v>State water add-on</x:v>
      </x:c>
      <x:c r="E119" s="40" t="str">
        <x:v>Montana DEQ water permitting and 401 certification information</x:v>
      </x:c>
      <x:c r="F119" s="40" t="str">
        <x:v>https://deq.mt.gov/water/assistance</x:v>
      </x:c>
      <x:c r="G119" s="40" t="str">
        <x:v>Montana DEQ</x:v>
      </x:c>
      <x:c r="H119" s="40" t="str">
        <x:v>State program page</x:v>
      </x:c>
      <x:c r="I119" s="40" t="str">
        <x:v>Montana Region 1 EAs requiring 401 certification or state water permits</x:v>
      </x:c>
      <x:c r="J119" s="40" t="str">
        <x:v>Federal permit/license/discharge or state water quality permit in Montana</x:v>
      </x:c>
      <x:c r="K119" s="40" t="str">
        <x:v>Check project-specific 401 certification/waiver/conditions and other state water permits</x:v>
      </x:c>
      <x:c r="L119" s="41" t="str">
        <x:v>Project-specific add-on; do not ingest as federal NEPA standard</x:v>
      </x:c>
    </x:row>
    <x:row r="120" ht="60" customHeight="1">
      <x:c r="A120" s="39" t="str">
        <x:v>R1EA-116</x:v>
      </x:c>
      <x:c r="B120" s="40" t="str">
        <x:v>Ingest</x:v>
      </x:c>
      <x:c r="C120" s="40" t="str">
        <x:v>Conditional</x:v>
      </x:c>
      <x:c r="D120" s="40" t="str">
        <x:v>State water add-on</x:v>
      </x:c>
      <x:c r="E120" s="40" t="str">
        <x:v>Idaho DEQ water quality certifications</x:v>
      </x:c>
      <x:c r="F120" s="40" t="str">
        <x:v>https://www.deq.idaho.gov/permits/water-quality-permits-certifications/water-quality-certifications/</x:v>
      </x:c>
      <x:c r="G120" s="40" t="str">
        <x:v>Idaho DEQ</x:v>
      </x:c>
      <x:c r="H120" s="40" t="str">
        <x:v>State program page</x:v>
      </x:c>
      <x:c r="I120" s="40" t="str">
        <x:v>Idaho Region 1 EAs requiring 401 certification</x:v>
      </x:c>
      <x:c r="J120" s="40" t="str">
        <x:v>Federal license/permit affecting waters on non-Tribal lands in Idaho</x:v>
      </x:c>
      <x:c r="K120" s="40" t="str">
        <x:v>Check project-specific 401 request, certification/waiver/conditions, and DEQ correspondence</x:v>
      </x:c>
      <x:c r="L120" s="41" t="str">
        <x:v>Project-specific add-on</x:v>
      </x:c>
    </x:row>
    <x:row r="121" ht="60" customHeight="1">
      <x:c r="A121" s="39" t="str">
        <x:v>R1EA-117</x:v>
      </x:c>
      <x:c r="B121" s="40" t="str">
        <x:v>Ingest</x:v>
      </x:c>
      <x:c r="C121" s="40" t="str">
        <x:v>Conditional</x:v>
      </x:c>
      <x:c r="D121" s="40" t="str">
        <x:v>State water add-on</x:v>
      </x:c>
      <x:c r="E121" s="40" t="str">
        <x:v>North Dakota DEQ Section 401 Water Quality Certification</x:v>
      </x:c>
      <x:c r="F121" s="40" t="str">
        <x:v>https://deq.nd.gov/WQ/5_Special_Projects/default.aspx</x:v>
      </x:c>
      <x:c r="G121" s="40" t="str">
        <x:v>North Dakota DEQ</x:v>
      </x:c>
      <x:c r="H121" s="40" t="str">
        <x:v>State program page</x:v>
      </x:c>
      <x:c r="I121" s="40" t="str">
        <x:v>Dakota Prairie Grasslands EAs in North Dakota requiring 401 certification</x:v>
      </x:c>
      <x:c r="J121" s="40" t="str">
        <x:v>Federal license/permit potentially discharging into ND waters</x:v>
      </x:c>
      <x:c r="K121" s="40" t="str">
        <x:v>Check project-specific certification/waiver/conditions</x:v>
      </x:c>
      <x:c r="L121" s="41" t="str">
        <x:v>Project-specific add-on</x:v>
      </x:c>
    </x:row>
    <x:row r="122" ht="60" customHeight="1">
      <x:c r="A122" s="39" t="str">
        <x:v>R1EA-118</x:v>
      </x:c>
      <x:c r="B122" s="40" t="str">
        <x:v>Ingest</x:v>
      </x:c>
      <x:c r="C122" s="40" t="str">
        <x:v>Conditional</x:v>
      </x:c>
      <x:c r="D122" s="40" t="str">
        <x:v>State water add-on</x:v>
      </x:c>
      <x:c r="E122" s="40" t="str">
        <x:v>South Dakota DANR 401 Certification Procedures</x:v>
      </x:c>
      <x:c r="F122" s="40" t="str">
        <x:v>https://danr.sd.gov/OfficeOfWater/SurfaceWaterQuality/waterqualitystandards/401Certifications.aspx</x:v>
      </x:c>
      <x:c r="G122" s="40" t="str">
        <x:v>South Dakota DANR</x:v>
      </x:c>
      <x:c r="H122" s="40" t="str">
        <x:v>State program page</x:v>
      </x:c>
      <x:c r="I122" s="40" t="str">
        <x:v>Dakota Prairie/Custer Gallatin EAs in South Dakota requiring 401 certification</x:v>
      </x:c>
      <x:c r="J122" s="40" t="str">
        <x:v>Federal permit/license with discharge into South Dakota waters</x:v>
      </x:c>
      <x:c r="K122" s="40" t="str">
        <x:v>Check project-specific certification/waiver/conditions</x:v>
      </x:c>
      <x:c r="L122" s="41" t="str">
        <x:v>Project-specific add-on</x:v>
      </x:c>
    </x:row>
    <x:row r="123" ht="60" customHeight="1">
      <x:c r="A123" s="39" t="str">
        <x:v>R1EA-119</x:v>
      </x:c>
      <x:c r="B123" s="40" t="str">
        <x:v>Ingest</x:v>
      </x:c>
      <x:c r="C123" s="40" t="str">
        <x:v>Conditional</x:v>
      </x:c>
      <x:c r="D123" s="40" t="str">
        <x:v>State cultural add-on</x:v>
      </x:c>
      <x:c r="E123" s="40" t="str">
        <x:v>Montana SHPO project review and compliance</x:v>
      </x:c>
      <x:c r="F123" s="40" t="str">
        <x:v>https://mths.mt.gov/Shpo/index2</x:v>
      </x:c>
      <x:c r="G123" s="40" t="str">
        <x:v>Montana SHPO</x:v>
      </x:c>
      <x:c r="H123" s="40" t="str">
        <x:v>State program page</x:v>
      </x:c>
      <x:c r="I123" s="40" t="str">
        <x:v>Montana EAs triggering NHPA §106</x:v>
      </x:c>
      <x:c r="J123" s="40" t="str">
        <x:v>Consultation with Montana SHPO required</x:v>
      </x:c>
      <x:c r="K123" s="40" t="str">
        <x:v>Check current MT SHPO consultation guidance, submittal, responses, and concurrence/objection</x:v>
      </x:c>
      <x:c r="L123" s="41" t="str">
        <x:v>Project-specific add-on</x:v>
      </x:c>
    </x:row>
    <x:row r="124" ht="60" customHeight="1">
      <x:c r="A124" s="39" t="str">
        <x:v>R1EA-120</x:v>
      </x:c>
      <x:c r="B124" s="40" t="str">
        <x:v>Ingest</x:v>
      </x:c>
      <x:c r="C124" s="40" t="str">
        <x:v>Conditional</x:v>
      </x:c>
      <x:c r="D124" s="40" t="str">
        <x:v>State cultural add-on</x:v>
      </x:c>
      <x:c r="E124" s="40" t="str">
        <x:v>Idaho SHPO Section 106 Project Review</x:v>
      </x:c>
      <x:c r="F124" s="40" t="str">
        <x:v>https://history.idaho.gov/section-106/</x:v>
      </x:c>
      <x:c r="G124" s="40" t="str">
        <x:v>Idaho SHPO</x:v>
      </x:c>
      <x:c r="H124" s="40" t="str">
        <x:v>State program page</x:v>
      </x:c>
      <x:c r="I124" s="40" t="str">
        <x:v>Idaho EAs triggering NHPA §106</x:v>
      </x:c>
      <x:c r="J124" s="40" t="str">
        <x:v>Consultation with Idaho SHPO required</x:v>
      </x:c>
      <x:c r="K124" s="40" t="str">
        <x:v>Check ICRIS submittal, SHPO 30-day response, findings, and guidance compliance</x:v>
      </x:c>
      <x:c r="L124" s="41" t="str">
        <x:v>Project-specific add-on</x:v>
      </x:c>
    </x:row>
    <x:row r="125" ht="60" customHeight="1">
      <x:c r="A125" s="39" t="str">
        <x:v>R1EA-121</x:v>
      </x:c>
      <x:c r="B125" s="40" t="str">
        <x:v>Ingest</x:v>
      </x:c>
      <x:c r="C125" s="40" t="str">
        <x:v>Conditional</x:v>
      </x:c>
      <x:c r="D125" s="40" t="str">
        <x:v>State cultural add-on</x:v>
      </x:c>
      <x:c r="E125" s="40" t="str">
        <x:v>North Dakota SHPO Review &amp; Compliance</x:v>
      </x:c>
      <x:c r="F125" s="40" t="str">
        <x:v>https://www.history.nd.gov/hp/reviewcompliance.html</x:v>
      </x:c>
      <x:c r="G125" s="40" t="str">
        <x:v>North Dakota SHPO</x:v>
      </x:c>
      <x:c r="H125" s="40" t="str">
        <x:v>State program page</x:v>
      </x:c>
      <x:c r="I125" s="40" t="str">
        <x:v>North Dakota EAs triggering NHPA §106</x:v>
      </x:c>
      <x:c r="J125" s="40" t="str">
        <x:v>Consultation with ND SHPO required</x:v>
      </x:c>
      <x:c r="K125" s="40" t="str">
        <x:v>Check project review submission, findings, and responses</x:v>
      </x:c>
      <x:c r="L125" s="41" t="str">
        <x:v>Project-specific add-on</x:v>
      </x:c>
    </x:row>
    <x:row r="126" ht="60" customHeight="1">
      <x:c r="A126" s="39" t="str">
        <x:v>R1EA-122</x:v>
      </x:c>
      <x:c r="B126" s="40" t="str">
        <x:v>Ingest</x:v>
      </x:c>
      <x:c r="C126" s="40" t="str">
        <x:v>Conditional</x:v>
      </x:c>
      <x:c r="D126" s="40" t="str">
        <x:v>State cultural add-on</x:v>
      </x:c>
      <x:c r="E126" s="40" t="str">
        <x:v>South Dakota SHPO Section 106 review and compliance process</x:v>
      </x:c>
      <x:c r="F126" s="40" t="str">
        <x:v>https://history.sd.gov/preservation/laws.aspx</x:v>
      </x:c>
      <x:c r="G126" s="40" t="str">
        <x:v>South Dakota SHPO</x:v>
      </x:c>
      <x:c r="H126" s="40" t="str">
        <x:v>State program page</x:v>
      </x:c>
      <x:c r="I126" s="40" t="str">
        <x:v>South Dakota EAs triggering NHPA §106</x:v>
      </x:c>
      <x:c r="J126" s="40" t="str">
        <x:v>Consultation with SD SHPO required</x:v>
      </x:c>
      <x:c r="K126" s="40" t="str">
        <x:v>Check review form/guidance, 30-day response, findings, and concurrence/adverse-effect resolution</x:v>
      </x:c>
      <x:c r="L126" s="41" t="str">
        <x:v>Project-specific add-on</x:v>
      </x:c>
    </x:row>
    <x:row r="127" ht="60" customHeight="1">
      <x:c r="A127" s="42" t="str">
        <x:v>R1EA-123</x:v>
      </x:c>
      <x:c r="B127" s="43" t="str">
        <x:v>Ingest</x:v>
      </x:c>
      <x:c r="C127" s="43" t="str">
        <x:v>Conditional</x:v>
      </x:c>
      <x:c r="D127" s="43" t="str">
        <x:v>State cultural add-on</x:v>
      </x:c>
      <x:c r="E127" s="43" t="str">
        <x:v>Washington DAHP project review</x:v>
      </x:c>
      <x:c r="F127" s="43" t="str">
        <x:v>https://dahp.wa.gov/project-review</x:v>
      </x:c>
      <x:c r="G127" s="43" t="str">
        <x:v>Washington Department of Archaeology and Historic Preservation</x:v>
      </x:c>
      <x:c r="H127" s="43" t="str">
        <x:v>State program page</x:v>
      </x:c>
      <x:c r="I127" s="43" t="str">
        <x:v>Northeastern Washington R1 lands if project triggers NHPA §106</x:v>
      </x:c>
      <x:c r="J127" s="43" t="str">
        <x:v>Consultation with Washington SHPO/DAHP required</x:v>
      </x:c>
      <x:c r="K127" s="43" t="str">
        <x:v>Check project review, EZ1/WISAARD where applicable, and responses</x:v>
      </x:c>
      <x:c r="L127" s="44" t="str">
        <x:v>Conditional for R1 sliver in Washington</x:v>
      </x:c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</x:row>
  </x:sheetData>
  <x:conditionalFormatting sqref="B5:B127">
    <x:cfRule type="containsText" dxfId="0" priority="1" operator="containsText" text="Ingest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65" hidden="0" customWidth="1"/>
    <x:col min="4" max="4" width="42" hidden="0" customWidth="1"/>
    <x:col min="5" max="5" width="42" hidden="0" customWidth="1"/>
    <x:col min="6" max="6" width="56" hidden="0" customWidth="1"/>
    <x:col min="7" max="7" width="42" hidden="0" customWidth="1"/>
  </x:cols>
  <x:sheetData>
    <x:row r="1" ht="26" customHeight="1">
      <x:c r="A1" s="28" t="str">
        <x:v>Region 1 Forest / Grassland Plans and Current Unit Overlays</x:v>
      </x:c>
      <x:c r="B1" s="28" t="str"/>
      <x:c r="C1" s="28" t="str"/>
      <x:c r="D1" s="28" t="str"/>
      <x:c r="E1" s="28" t="str"/>
      <x:c r="F1" s="28" t="str"/>
      <x:c r="G1" s="28" t="str"/>
    </x:row>
    <x:row r="2" ht="32" customHeight="1">
      <x:c r="A2" s="29" t="str">
        <x:v>Use this sheet after resolving project location to the relevant Region 1 administrative unit.</x:v>
      </x:c>
      <x:c r="B2" s="29" t="str"/>
      <x:c r="C2" s="29" t="str"/>
      <x:c r="D2" s="29" t="str"/>
      <x:c r="E2" s="29" t="str"/>
      <x:c r="F2" s="29" t="str"/>
      <x:c r="G2" s="29" t="str"/>
    </x:row>
    <x:row r="3">
      <x:c r="A3" s="30"/>
      <x:c r="B3" s="30"/>
      <x:c r="C3" s="30"/>
      <x:c r="D3" s="30"/>
      <x:c r="E3" s="30"/>
      <x:c r="F3" s="30"/>
      <x:c r="G3" s="30"/>
    </x:row>
    <x:row r="4" ht="36" customHeight="1">
      <x:c r="A4" s="36" t="str">
        <x:v>Unit / Overlay</x:v>
      </x:c>
      <x:c r="B4" s="37" t="str">
        <x:v>Current Document or Source</x:v>
      </x:c>
      <x:c r="C4" s="37" t="str">
        <x:v>Official_Link</x:v>
      </x:c>
      <x:c r="D4" s="37" t="str">
        <x:v>Status in Apr 2026</x:v>
      </x:c>
      <x:c r="E4" s="37" t="str">
        <x:v>Applies_When</x:v>
      </x:c>
      <x:c r="F4" s="37" t="str">
        <x:v>Review_Engine_Checks</x:v>
      </x:c>
      <x:c r="G4" s="38" t="str">
        <x:v>Notes</x:v>
      </x:c>
    </x:row>
    <x:row r="5" ht="60" customHeight="1">
      <x:c r="A5" s="39" t="str">
        <x:v>Region 1 / Northern Region</x:v>
      </x:c>
      <x:c r="B5" s="40" t="str">
        <x:v>Northern Region planning landing page</x:v>
      </x:c>
      <x:c r="C5" s="40" t="str">
        <x:v>https://www.fs.usda.gov/r01/planning</x:v>
      </x:c>
      <x:c r="D5" s="40" t="str">
        <x:v>Current source page for Region 1 plans and SCC context</x:v>
      </x:c>
      <x:c r="E5" s="40" t="str">
        <x:v>All Region 1 EAs</x:v>
      </x:c>
      <x:c r="F5" s="40" t="str">
        <x:v>Resolve unit, current plan, amendments, monitoring reports, SCC, and plan revision status</x:v>
      </x:c>
      <x:c r="G5" s="41" t="str">
        <x:v>Region 1 includes forests in MT/ID/WA and Dakota Prairie Grasslands in ND/SD</x:v>
      </x:c>
    </x:row>
    <x:row r="6" ht="60" customHeight="1">
      <x:c r="A6" s="39" t="str">
        <x:v>Region 1 / Northern Region</x:v>
      </x:c>
      <x:c r="B6" s="40" t="str">
        <x:v>Northern Region forests and grasslands page</x:v>
      </x:c>
      <x:c r="C6" s="40" t="str">
        <x:v>https://www.fs.usda.gov/r01/forests-grasslands</x:v>
      </x:c>
      <x:c r="D6" s="40" t="str">
        <x:v>Current unit list/source page</x:v>
      </x:c>
      <x:c r="E6" s="40" t="str">
        <x:v>All Region 1 EAs</x:v>
      </x:c>
      <x:c r="F6" s="40" t="str">
        <x:v>Map project to correct administrative unit and state/circuit/permit context</x:v>
      </x:c>
      <x:c r="G6" s="41" t="str">
        <x:v>Use for unit scoping and office links</x:v>
      </x:c>
    </x:row>
    <x:row r="7" ht="60" customHeight="1">
      <x:c r="A7" s="39" t="str">
        <x:v>Beaverhead-Deerlodge NF</x:v>
      </x:c>
      <x:c r="B7" s="40" t="str">
        <x:v>Beaverhead-Deerlodge planning page</x:v>
      </x:c>
      <x:c r="C7" s="40" t="str">
        <x:v>https://www.fs.usda.gov/r01/beaverhead-deerlodge/planning</x:v>
      </x:c>
      <x:c r="D7" s="40" t="str">
        <x:v>2009 Forest Plan; source page includes plan, FEIS/ROD, plan-level ESA, monitoring</x:v>
      </x:c>
      <x:c r="E7" s="40" t="str">
        <x:v>EA on Beaverhead-Deerlodge National Forest</x:v>
      </x:c>
      <x:c r="F7" s="40" t="str">
        <x:v>Check 2009 plan consistency, plan amendments, plan-level ESA documents, BMER/monitoring</x:v>
      </x:c>
      <x:c r="G7" s="41" t="str">
        <x:v>Use page as index to current plan documents</x:v>
      </x:c>
    </x:row>
    <x:row r="8" ht="60" customHeight="1">
      <x:c r="A8" s="39" t="str">
        <x:v>Beaverhead-Deerlodge NF</x:v>
      </x:c>
      <x:c r="B8" s="40" t="str">
        <x:v>2009 Beaverhead-Deerlodge Forest Plan PDF</x:v>
      </x:c>
      <x:c r="C8" s="40" t="str">
        <x:v>https://www.fs.usda.gov/media/228236</x:v>
      </x:c>
      <x:c r="D8" s="40" t="str">
        <x:v>Current plan document identified by Forest Service planning page</x:v>
      </x:c>
      <x:c r="E8" s="40" t="str">
        <x:v>EA on Beaverhead-Deerlodge National Forest</x:v>
      </x:c>
      <x:c r="F8" s="40" t="str">
        <x:v>Extract standards/guidelines/objectives/suitability/designated area direction</x:v>
      </x:c>
      <x:c r="G8" s="41" t="str">
        <x:v>Verify any amendments/current supplements on planning page</x:v>
      </x:c>
    </x:row>
    <x:row r="9" ht="60" customHeight="1">
      <x:c r="A9" s="39" t="str">
        <x:v>Bitterroot NF</x:v>
      </x:c>
      <x:c r="B9" s="40" t="str">
        <x:v>Bitterroot planning page</x:v>
      </x:c>
      <x:c r="C9" s="40" t="str">
        <x:v>https://www.fs.usda.gov/r01/bitterroot/planning</x:v>
      </x:c>
      <x:c r="D9" s="40" t="str">
        <x:v>Existing 1987 Forest Plan and amendments listed; monitoring transition and BMER available</x:v>
      </x:c>
      <x:c r="E9" s="40" t="str">
        <x:v>EA on Bitterroot National Forest</x:v>
      </x:c>
      <x:c r="F9" s="40" t="str">
        <x:v>Check 1987 plan, amendments 1-40, monitoring program, and any project-specific amendments</x:v>
      </x:c>
      <x:c r="G9" s="41" t="str">
        <x:v>Plan developed under 1982 rule; current until revised</x:v>
      </x:c>
    </x:row>
    <x:row r="10" ht="60" customHeight="1">
      <x:c r="A10" s="39" t="str">
        <x:v>Bitterroot NF</x:v>
      </x:c>
      <x:c r="B10" s="40" t="str">
        <x:v>1987 Bitterroot Forest Plan PDF</x:v>
      </x:c>
      <x:c r="C10" s="40" t="str">
        <x:v>https://www.fs.usda.gov/media/44858</x:v>
      </x:c>
      <x:c r="D10" s="40" t="str">
        <x:v>Current plan document identified by Forest Service planning page</x:v>
      </x:c>
      <x:c r="E10" s="40" t="str">
        <x:v>EA on Bitterroot National Forest</x:v>
      </x:c>
      <x:c r="F10" s="40" t="str">
        <x:v>Extract plan standards/guidelines and amendment history</x:v>
      </x:c>
      <x:c r="G10" s="41" t="str">
        <x:v>Use with amendments page</x:v>
      </x:c>
    </x:row>
    <x:row r="11" ht="60" customHeight="1">
      <x:c r="A11" s="39" t="str">
        <x:v>Bitterroot NF</x:v>
      </x:c>
      <x:c r="B11" s="40" t="str">
        <x:v>Bitterroot Forest Plan Amendments 1-40</x:v>
      </x:c>
      <x:c r="C11" s="40" t="str">
        <x:v>https://www.fs.usda.gov/media/238203</x:v>
      </x:c>
      <x:c r="D11" s="40" t="str">
        <x:v>Current amendments source identified by Forest Service planning page</x:v>
      </x:c>
      <x:c r="E11" s="40" t="str">
        <x:v>EA on Bitterroot National Forest</x:v>
      </x:c>
      <x:c r="F11" s="40" t="str">
        <x:v>Ensure project consistency with all applicable amendments</x:v>
      </x:c>
      <x:c r="G11" s="41" t="str">
        <x:v>Link may be Forest Service media file</x:v>
      </x:c>
    </x:row>
    <x:row r="12" ht="60" customHeight="1">
      <x:c r="A12" s="39" t="str">
        <x:v>Custer Gallatin NF</x:v>
      </x:c>
      <x:c r="B12" s="40" t="str">
        <x:v>Custer Gallatin land management plan page</x:v>
      </x:c>
      <x:c r="C12" s="40" t="str">
        <x:v>https://www.fs.usda.gov/r01/custergallatin/planning/forest-plan/custer-gallatin-land-management-plan-forest-plan-revision</x:v>
      </x:c>
      <x:c r="D12" s="40" t="str">
        <x:v>2022 Land Management Plan; page last updated Jan. 30, 2026</x:v>
      </x:c>
      <x:c r="E12" s="40" t="str">
        <x:v>EA on Custer Gallatin National Forest</x:v>
      </x:c>
      <x:c r="F12" s="40" t="str">
        <x:v>Check 2022 plan consistency, appendices, FEIS/ROD, BA/BO, SCC</x:v>
      </x:c>
      <x:c r="G12" s="41" t="str">
        <x:v>Use page for current documents</x:v>
      </x:c>
    </x:row>
    <x:row r="13" ht="60" customHeight="1">
      <x:c r="A13" s="39" t="str">
        <x:v>Custer Gallatin NF</x:v>
      </x:c>
      <x:c r="B13" s="40" t="str">
        <x:v>2022 Custer Gallatin Land Management Plan PDF</x:v>
      </x:c>
      <x:c r="C13" s="40" t="str">
        <x:v>https://www.fs.usda.gov/media/51590</x:v>
      </x:c>
      <x:c r="D13" s="40" t="str">
        <x:v>Current plan document</x:v>
      </x:c>
      <x:c r="E13" s="40" t="str">
        <x:v>EA on Custer Gallatin National Forest</x:v>
      </x:c>
      <x:c r="F13" s="40" t="str">
        <x:v>Extract plan components by resource and geography; check suitability/designated areas</x:v>
      </x:c>
      <x:c r="G13" s="41" t="str">
        <x:v>Use with ROD and appendices</x:v>
      </x:c>
    </x:row>
    <x:row r="14" ht="60" customHeight="1">
      <x:c r="A14" s="39" t="str">
        <x:v>Custer Gallatin NF</x:v>
      </x:c>
      <x:c r="B14" s="40" t="str">
        <x:v>Custer Gallatin Land Management Plan Record of Decision PDF</x:v>
      </x:c>
      <x:c r="C14" s="40" t="str">
        <x:v>https://www.fs.usda.gov/media/51931</x:v>
      </x:c>
      <x:c r="D14" s="40" t="str">
        <x:v>Current ROD</x:v>
      </x:c>
      <x:c r="E14" s="40" t="str">
        <x:v>EA on Custer Gallatin National Forest when decision basis/plan direction at issue</x:v>
      </x:c>
      <x:c r="F14" s="40" t="str">
        <x:v>Check selected alternative, plan approval, objection resolution, and plan context</x:v>
      </x:c>
      <x:c r="G14" s="41" t="str">
        <x:v>Useful for plan consistency history</x:v>
      </x:c>
    </x:row>
    <x:row r="15" ht="60" customHeight="1">
      <x:c r="A15" s="39" t="str">
        <x:v>Dakota Prairie Grasslands</x:v>
      </x:c>
      <x:c r="B15" s="40" t="str">
        <x:v>Dakota Prairie Grasslands natural resources / LRMP page</x:v>
      </x:c>
      <x:c r="C15" s="40" t="str">
        <x:v>https://www.fs.usda.gov/r01/dakota-prairie/natural-resources</x:v>
      </x:c>
      <x:c r="D15" s="40" t="str">
        <x:v>2001 LRMP and plan documents; page last updated Mar. 31, 2026</x:v>
      </x:c>
      <x:c r="E15" s="40" t="str">
        <x:v>EA on Dakota Prairie Grasslands</x:v>
      </x:c>
      <x:c r="F15" s="40" t="str">
        <x:v>Check LRMP chapters, appendices, FEIS, ROD, OHV amendment, monitoring and grassland-specific direction</x:v>
      </x:c>
      <x:c r="G15" s="41" t="str">
        <x:v>Includes Cedar River, Little Missouri, Sheyenne, Grand River, Buffalo Gap, Fort Pierre</x:v>
      </x:c>
    </x:row>
    <x:row r="16" ht="60" customHeight="1">
      <x:c r="A16" s="39" t="str">
        <x:v>Dakota Prairie Grasslands</x:v>
      </x:c>
      <x:c r="B16" s="40" t="str">
        <x:v>Dakota Prairie Grasslands planning page</x:v>
      </x:c>
      <x:c r="C16" s="40" t="str">
        <x:v>https://www.fs.usda.gov/r01/dakota-prairie/planning</x:v>
      </x:c>
      <x:c r="D16" s="40" t="str">
        <x:v>Current planning source page; cross-check with Natural Resources/LRMP page</x:v>
      </x:c>
      <x:c r="E16" s="40" t="str">
        <x:v>EA on Dakota Prairie Grasslands</x:v>
      </x:c>
      <x:c r="F16" s="40" t="str">
        <x:v>Use as source page to resolve current planning documents and project pages</x:v>
      </x:c>
      <x:c r="G16" s="41" t="str">
        <x:v>Use with 36 CFR part 213/Bankhead-Jones</x:v>
      </x:c>
    </x:row>
    <x:row r="17" ht="60" customHeight="1">
      <x:c r="A17" s="39" t="str">
        <x:v>Flathead NF</x:v>
      </x:c>
      <x:c r="B17" s="40" t="str">
        <x:v>Flathead Forest Plan page</x:v>
      </x:c>
      <x:c r="C17" s="40" t="str">
        <x:v>https://www.fs.usda.gov/r01/flathead/planning/forest-plan</x:v>
      </x:c>
      <x:c r="D17" s="40" t="str">
        <x:v>2018 Revised Land Management Plan; page last updated Apr. 23, 2026</x:v>
      </x:c>
      <x:c r="E17" s="40" t="str">
        <x:v>EA on Flathead National Forest</x:v>
      </x:c>
      <x:c r="F17" s="40" t="str">
        <x:v>Check 2018 plan, monitoring, NCDE grizzly direction, SCC, WSR/wilderness/roadless direction</x:v>
      </x:c>
      <x:c r="G17" s="41" t="str">
        <x:v>Use public reading room/source page</x:v>
      </x:c>
    </x:row>
    <x:row r="18" ht="60" customHeight="1">
      <x:c r="A18" s="39" t="str">
        <x:v>Helena-Lewis and Clark NF</x:v>
      </x:c>
      <x:c r="B18" s="40" t="str">
        <x:v>2021 Forest Plan, Final EIS and ROD page</x:v>
      </x:c>
      <x:c r="C18" s="40" t="str">
        <x:v>https://www.fs.usda.gov/r01/helena-lewisclark/natural-resources/forest-management/2021-forest-plan-final-eis-and-record-0</x:v>
      </x:c>
      <x:c r="D18" s="40" t="str">
        <x:v>2021 Land Management Plan; page last updated Apr. 8, 2026</x:v>
      </x:c>
      <x:c r="E18" s="40" t="str">
        <x:v>EA on Helena-Lewis and Clark National Forest</x:v>
      </x:c>
      <x:c r="F18" s="40" t="str">
        <x:v>Check plan, appendices, updates since signing, grizzly BA/BO, BMER, SCC</x:v>
      </x:c>
      <x:c r="G18" s="41" t="str">
        <x:v>Use source page for current updates</x:v>
      </x:c>
    </x:row>
    <x:row r="19" ht="60" customHeight="1">
      <x:c r="A19" s="39" t="str">
        <x:v>Helena-Lewis and Clark NF</x:v>
      </x:c>
      <x:c r="B19" s="40" t="str">
        <x:v>2021 Land Management Plan PDF</x:v>
      </x:c>
      <x:c r="C19" s="40" t="str">
        <x:v>https://www.fs.usda.gov/media/214540</x:v>
      </x:c>
      <x:c r="D19" s="40" t="str">
        <x:v>Current plan document identified by Forest Service page</x:v>
      </x:c>
      <x:c r="E19" s="40" t="str">
        <x:v>EA on Helena-Lewis and Clark National Forest</x:v>
      </x:c>
      <x:c r="F19" s="40" t="str">
        <x:v>Extract plan components, appendices, and project consistency standards</x:v>
      </x:c>
      <x:c r="G19" s="41" t="str">
        <x:v>Media link may require browser download but is official</x:v>
      </x:c>
    </x:row>
    <x:row r="20" ht="60" customHeight="1">
      <x:c r="A20" s="39" t="str">
        <x:v>Idaho Panhandle NFs</x:v>
      </x:c>
      <x:c r="B20" s="40" t="str">
        <x:v>Idaho Panhandle planning page</x:v>
      </x:c>
      <x:c r="C20" s="40" t="str">
        <x:v>https://www.fs.usda.gov/r01/idahopanhandle/planning</x:v>
      </x:c>
      <x:c r="D20" s="40" t="str">
        <x:v>2015 Land Management Plan; current source page</x:v>
      </x:c>
      <x:c r="E20" s="40" t="str">
        <x:v>EA on Idaho Panhandle National Forests</x:v>
      </x:c>
      <x:c r="F20" s="40" t="str">
        <x:v>Check 2015 plan, ROD, FEIS, appendices, errata, Idaho Roadless, grizzly/lynx/aquatic direction</x:v>
      </x:c>
      <x:c r="G20" s="41" t="str">
        <x:v>Use page for current documents</x:v>
      </x:c>
    </x:row>
    <x:row r="21" ht="60" customHeight="1">
      <x:c r="A21" s="39" t="str">
        <x:v>Idaho Panhandle NFs</x:v>
      </x:c>
      <x:c r="B21" s="40" t="str">
        <x:v>2015 Idaho Panhandle Land Management Plan PDF</x:v>
      </x:c>
      <x:c r="C21" s="40" t="str">
        <x:v>https://www.fs.usda.gov/media/229751</x:v>
      </x:c>
      <x:c r="D21" s="40" t="str">
        <x:v>Current plan document identified by Forest Service page</x:v>
      </x:c>
      <x:c r="E21" s="40" t="str">
        <x:v>EA on Idaho Panhandle National Forests</x:v>
      </x:c>
      <x:c r="F21" s="40" t="str">
        <x:v>Extract plan components, suitability, standards/guidelines, special area direction</x:v>
      </x:c>
      <x:c r="G21" s="41" t="str">
        <x:v>Use with ROD/FEIS/errata</x:v>
      </x:c>
    </x:row>
    <x:row r="22" ht="60" customHeight="1">
      <x:c r="A22" s="39" t="str">
        <x:v>Kootenai NF</x:v>
      </x:c>
      <x:c r="B22" s="40" t="str">
        <x:v>Kootenai planning page</x:v>
      </x:c>
      <x:c r="C22" s="40" t="str">
        <x:v>https://www.fs.usda.gov/r01/kootenai/planning</x:v>
      </x:c>
      <x:c r="D22" s="40" t="str">
        <x:v>2015 Land Management Plan effective Feb. 17, 2015; source page includes amendments</x:v>
      </x:c>
      <x:c r="E22" s="40" t="str">
        <x:v>EA on Kootenai National Forest</x:v>
      </x:c>
      <x:c r="F22" s="40" t="str">
        <x:v>Check 2015 plan, BORZ amendment, NCDE grizzly amendment, SCC/plan components</x:v>
      </x:c>
      <x:c r="G22" s="41" t="str">
        <x:v>Use page for current documents</x:v>
      </x:c>
    </x:row>
    <x:row r="23" ht="60" customHeight="1">
      <x:c r="A23" s="39" t="str">
        <x:v>Lolo NF</x:v>
      </x:c>
      <x:c r="B23" s="40" t="str">
        <x:v>Lolo Forest Plan revision/document library page</x:v>
      </x:c>
      <x:c r="C23" s="40" t="str">
        <x:v>https://www.fs.usda.gov/r01/lolo/planning/forest-plan-revision</x:v>
      </x:c>
      <x:c r="D23" s="40" t="str">
        <x:v>Current source page; Lolo is in revision but final revised plan not yet shown as current</x:v>
      </x:c>
      <x:c r="E23" s="40" t="str">
        <x:v>EA on Lolo National Forest</x:v>
      </x:c>
      <x:c r="F23" s="40" t="str">
        <x:v>Use current 1986 plan/plan amendments unless final revised plan is signed; check revision materials only as context</x:v>
      </x:c>
      <x:c r="G23" s="41" t="str">
        <x:v>Do not treat draft/proposed revision as current plan</x:v>
      </x:c>
    </x:row>
    <x:row r="24" ht="60" customHeight="1">
      <x:c r="A24" s="39" t="str">
        <x:v>Nez Perce-Clearwater NFs</x:v>
      </x:c>
      <x:c r="B24" s="40" t="str">
        <x:v>Nez Perce-Clearwater forest plan page</x:v>
      </x:c>
      <x:c r="C24" s="40" t="str">
        <x:v>https://www.fs.usda.gov/r01/nezperceclearwater/planning/forest-plan</x:v>
      </x:c>
      <x:c r="D24" s="40" t="str">
        <x:v>2025 revised Land Management Plan signed in 2025</x:v>
      </x:c>
      <x:c r="E24" s="40" t="str">
        <x:v>EA on Nez Perce-Clearwater National Forests</x:v>
      </x:c>
      <x:c r="F24" s="40" t="str">
        <x:v>Check 2025 plan, ROD, FEIS, supporting materials, SCC, Idaho Roadless, aquatic/lynx/grizzly direction</x:v>
      </x:c>
      <x:c r="G24" s="41" t="str">
        <x:v>Use source page for current documents</x:v>
      </x:c>
    </x:row>
    <x:row r="25" ht="60" customHeight="1">
      <x:c r="A25" s="39" t="str">
        <x:v>Nez Perce-Clearwater NFs</x:v>
      </x:c>
      <x:c r="B25" s="40" t="str">
        <x:v>Nez Perce-Clearwater 2025 Revised Land Management Plan page</x:v>
      </x:c>
      <x:c r="C25" s="40" t="str">
        <x:v>https://www.fs.usda.gov/r01/nezperceclearwater/planning/forest-plan/2025-revised-land-management-plan</x:v>
      </x:c>
      <x:c r="D25" s="40" t="str">
        <x:v>2025 revised plan document set</x:v>
      </x:c>
      <x:c r="E25" s="40" t="str">
        <x:v>EA on Nez Perce-Clearwater National Forests</x:v>
      </x:c>
      <x:c r="F25" s="40" t="str">
        <x:v>Check LMP, ROD, FEIS, SCC, plan components, and implementation updates</x:v>
      </x:c>
      <x:c r="G25" s="41" t="str">
        <x:v>Current as of 2025/2026 source page</x:v>
      </x:c>
    </x:row>
    <x:row r="26" ht="60" customHeight="1">
      <x:c r="A26" s="39" t="str">
        <x:v>Region 1 species overlay</x:v>
      </x:c>
      <x:c r="B26" s="40" t="str">
        <x:v>Region 1 Species of Conservation Concern page</x:v>
      </x:c>
      <x:c r="C26" s="40" t="str">
        <x:v>https://www.fs.usda.gov/r01/planning/species-conservation-concern</x:v>
      </x:c>
      <x:c r="D26" s="40" t="str">
        <x:v>Current R1 SCC source page</x:v>
      </x:c>
      <x:c r="E26" s="40" t="str">
        <x:v>EAs on 2012-rule plan forests with SCC lists</x:v>
      </x:c>
      <x:c r="F26" s="40" t="str">
        <x:v>Resolve forest-specific SCC lists and project consistency with SCC plan components</x:v>
      </x:c>
      <x:c r="G26" s="41" t="str">
        <x:v>SCC differs from Regional Forester sensitive species</x:v>
      </x:c>
    </x:row>
    <x:row r="27" ht="60" customHeight="1">
      <x:c r="A27" s="39" t="str">
        <x:v>Region 1 species overlay</x:v>
      </x:c>
      <x:c r="B27" s="40" t="str">
        <x:v>Northern Rockies Lynx Management Direction</x:v>
      </x:c>
      <x:c r="C27" s="40" t="str">
        <x:v>https://www.fs.usda.gov/r01/animals-plants/animals/lynx-management-direction-northern-rockies</x:v>
      </x:c>
      <x:c r="D27" s="40" t="str">
        <x:v>Current Region 1 lynx management direction source page</x:v>
      </x:c>
      <x:c r="E27" s="40" t="str">
        <x:v>EAs affecting lynx habitat/LAUs on covered forests</x:v>
      </x:c>
      <x:c r="F27" s="40" t="str">
        <x:v>Check standards/guidelines, vegetation/snow/recreation effects, ESA consistency</x:v>
      </x:c>
      <x:c r="G27" s="41" t="str">
        <x:v>Conditional plan overlay</x:v>
      </x:c>
    </x:row>
    <x:row r="28" ht="60" customHeight="1">
      <x:c r="A28" s="42" t="str">
        <x:v>Region 1 grassland overlay</x:v>
      </x:c>
      <x:c r="B28" s="43" t="str">
        <x:v>36 CFR part 213 National Grassland / Bankhead-Jones administration</x:v>
      </x:c>
      <x:c r="C28" s="43" t="str">
        <x:v>https://www.ecfr.gov/current/title-36/chapter-II/part-213</x:v>
      </x:c>
      <x:c r="D28" s="43" t="str">
        <x:v>Current regulation</x:v>
      </x:c>
      <x:c r="E28" s="43" t="str">
        <x:v>Dakota Prairie Grasslands EAs</x:v>
      </x:c>
      <x:c r="F28" s="43" t="str">
        <x:v>Check grassland purpose, soil/vegetative cover, land conservation, and LRMP consistency</x:v>
      </x:c>
      <x:c r="G28" s="44" t="str">
        <x:v>DPG-specific</x:v>
      </x:c>
    </x:row>
    <x:row r="29">
      <x:c r="A29" s="30"/>
      <x:c r="B29" s="30"/>
      <x:c r="C29" s="30"/>
      <x:c r="D29" s="30"/>
      <x:c r="E29" s="30"/>
      <x:c r="F29" s="30"/>
      <x:c r="G29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65" hidden="0" customWidth="1"/>
    <x:col min="4" max="4" width="42" hidden="0" customWidth="1"/>
    <x:col min="5" max="5" width="70" hidden="0" customWidth="1"/>
    <x:col min="6" max="6" width="18" hidden="0" customWidth="1"/>
    <x:col min="7" max="7" width="34" hidden="0" customWidth="1"/>
  </x:cols>
  <x:sheetData>
    <x:row r="1" ht="26" customHeight="1">
      <x:c r="A1" s="28" t="str">
        <x:v>EA Package Review Checklist</x:v>
      </x:c>
      <x:c r="B1" s="28" t="str"/>
      <x:c r="C1" s="28" t="str"/>
      <x:c r="D1" s="28" t="str"/>
      <x:c r="E1" s="28" t="str"/>
      <x:c r="F1" s="28" t="str"/>
      <x:c r="G1" s="28" t="str"/>
    </x:row>
    <x:row r="2" ht="32" customHeight="1">
      <x:c r="A2" s="29" t="str">
        <x:v>Expected documents, fields, and validations for Region 1 EA / DN / FONSI review.</x:v>
      </x:c>
      <x:c r="B2" s="29" t="str"/>
      <x:c r="C2" s="29" t="str"/>
      <x:c r="D2" s="29" t="str"/>
      <x:c r="E2" s="29" t="str"/>
      <x:c r="F2" s="29" t="str"/>
      <x:c r="G2" s="29" t="str"/>
    </x:row>
    <x:row r="3">
      <x:c r="A3" s="30"/>
      <x:c r="B3" s="30"/>
      <x:c r="C3" s="30"/>
      <x:c r="D3" s="30"/>
      <x:c r="E3" s="30"/>
      <x:c r="F3" s="30"/>
      <x:c r="G3" s="30"/>
    </x:row>
    <x:row r="4" ht="36" customHeight="1">
      <x:c r="A4" s="36" t="str">
        <x:v>Checklist_ID</x:v>
      </x:c>
      <x:c r="B4" s="37" t="str">
        <x:v>EA Package Document / Field</x:v>
      </x:c>
      <x:c r="C4" s="37" t="str">
        <x:v>Source_Link</x:v>
      </x:c>
      <x:c r="D4" s="37" t="str">
        <x:v>Trigger</x:v>
      </x:c>
      <x:c r="E4" s="37" t="str">
        <x:v>Review_Engine_Validation</x:v>
      </x:c>
      <x:c r="F4" s="37" t="str">
        <x:v>Mandatory_for_R1_EA</x:v>
      </x:c>
      <x:c r="G4" s="38" t="str">
        <x:v>Notes</x:v>
      </x:c>
    </x:row>
    <x:row r="5" ht="58" customHeight="1">
      <x:c r="A5" s="39" t="str">
        <x:v>EA-REC-001</x:v>
      </x:c>
      <x:c r="B5" s="40" t="str">
        <x:v>Project title, responsible official, administrative unit, legal authority, and proposed decision</x:v>
      </x:c>
      <x:c r="C5" s="40" t="str">
        <x:v>https://www.ecfr.gov/current/title-7/subtitle-A/part-1b/section-1b.5</x:v>
      </x:c>
      <x:c r="D5" s="40" t="str">
        <x:v>Every EA</x:v>
      </x:c>
      <x:c r="E5" s="40" t="str">
        <x:v>Confirm EA identifies project, responsible official, NFS unit, decision to be made, and relevant authorizing authority</x:v>
      </x:c>
      <x:c r="F5" s="40" t="str">
        <x:v>Yes</x:v>
      </x:c>
      <x:c r="G5" s="41" t="str">
        <x:v>Core metadata</x:v>
      </x:c>
    </x:row>
    <x:row r="6" ht="58" customHeight="1">
      <x:c r="A6" s="39" t="str">
        <x:v>EA-REC-002</x:v>
      </x:c>
      <x:c r="B6" s="40" t="str">
        <x:v>NEPA threshold determination / applicability screen</x:v>
      </x:c>
      <x:c r="C6" s="40" t="str">
        <x:v>https://www.ecfr.gov/current/title-7/subtitle-A/part-1b/section-1b.2</x:v>
      </x:c>
      <x:c r="D6" s="40" t="str">
        <x:v>Every EA</x:v>
      </x:c>
      <x:c r="E6" s="40" t="str">
        <x:v>Verify major Federal action, project at hand, discretion, finality, statutory exemption/conflict/function, and record support</x:v>
      </x:c>
      <x:c r="F6" s="40" t="str">
        <x:v>Yes</x:v>
      </x:c>
      <x:c r="G6" s="41" t="str">
        <x:v>Should precede level-of-review conclusion</x:v>
      </x:c>
    </x:row>
    <x:row r="7" ht="58" customHeight="1">
      <x:c r="A7" s="39" t="str">
        <x:v>EA-REC-003</x:v>
      </x:c>
      <x:c r="B7" s="40" t="str">
        <x:v>Level-of-review rationale and CE screen</x:v>
      </x:c>
      <x:c r="C7" s="40" t="str">
        <x:v>https://www.ecfr.gov/current/title-7/subtitle-A/part-1b/section-1b.2</x:v>
      </x:c>
      <x:c r="D7" s="40" t="str">
        <x:v>Every EA</x:v>
      </x:c>
      <x:c r="E7" s="40" t="str">
        <x:v>Verify CE/adopted CE/statutory CE considered where relevant and EA justified if significance unknown/not likely</x:v>
      </x:c>
      <x:c r="F7" s="40" t="str">
        <x:v>Yes</x:v>
      </x:c>
      <x:c r="G7" s="41" t="str">
        <x:v>Do not require CE documentation if no plausible CE, but flag missing rationale</x:v>
      </x:c>
    </x:row>
    <x:row r="8" ht="58" customHeight="1">
      <x:c r="A8" s="39" t="str">
        <x:v>EA-REC-004</x:v>
      </x:c>
      <x:c r="B8" s="40" t="str">
        <x:v>Purpose and need</x:v>
      </x:c>
      <x:c r="C8" s="40" t="str">
        <x:v>https://www.ecfr.gov/current/title-7/subtitle-A/part-1b/section-1b.5</x:v>
      </x:c>
      <x:c r="D8" s="40" t="str">
        <x:v>Every EA</x:v>
      </x:c>
      <x:c r="E8" s="40" t="str">
        <x:v>Confirm purpose/need is action-specific, tied to agency authority and forest plan/resource objective, and not overbroad</x:v>
      </x:c>
      <x:c r="F8" s="40" t="str">
        <x:v>Yes</x:v>
      </x:c>
      <x:c r="G8" s="41" t="str">
        <x:v>Primary EA content</x:v>
      </x:c>
    </x:row>
    <x:row r="9" ht="58" customHeight="1">
      <x:c r="A9" s="39" t="str">
        <x:v>EA-REC-005</x:v>
      </x:c>
      <x:c r="B9" s="40" t="str">
        <x:v>Proposed action / project-at-hand description</x:v>
      </x:c>
      <x:c r="C9" s="40" t="str">
        <x:v>https://www.ecfr.gov/current/title-7/subtitle-A/part-1b/section-1b.5</x:v>
      </x:c>
      <x:c r="D9" s="40" t="str">
        <x:v>Every EA</x:v>
      </x:c>
      <x:c r="E9" s="40" t="str">
        <x:v>Check location, acres/miles/units, methods, design features, implementation timing, maps, connected authorizations</x:v>
      </x:c>
      <x:c r="F9" s="40" t="str">
        <x:v>Yes</x:v>
      </x:c>
      <x:c r="G9" s="41" t="str">
        <x:v>Engine should extract measurable action components</x:v>
      </x:c>
    </x:row>
    <x:row r="10" ht="58" customHeight="1">
      <x:c r="A10" s="39" t="str">
        <x:v>EA-REC-006</x:v>
      </x:c>
      <x:c r="B10" s="40" t="str">
        <x:v>Decision framework</x:v>
      </x:c>
      <x:c r="C10" s="40" t="str">
        <x:v>https://www.ecfr.gov/current/title-7/subtitle-A/part-1b/section-1b.5</x:v>
      </x:c>
      <x:c r="D10" s="40" t="str">
        <x:v>Every EA</x:v>
      </x:c>
      <x:c r="E10" s="40" t="str">
        <x:v>Verify responsible official identifies what decision is within FS discretion and what decision is outside scope</x:v>
      </x:c>
      <x:c r="F10" s="40" t="str">
        <x:v>Yes</x:v>
      </x:c>
      <x:c r="G10" s="41" t="str">
        <x:v>Useful for Seven County/project-at-hand check</x:v>
      </x:c>
    </x:row>
    <x:row r="11" ht="58" customHeight="1">
      <x:c r="A11" s="39" t="str">
        <x:v>EA-REC-007</x:v>
      </x:c>
      <x:c r="B11" s="40" t="str">
        <x:v>Public involvement/scoping record</x:v>
      </x:c>
      <x:c r="C11" s="40" t="str">
        <x:v>https://www.ecfr.gov/current/title-36/chapter-II/part-218</x:v>
      </x:c>
      <x:c r="D11" s="40" t="str">
        <x:v>Every objection-eligible EA</x:v>
      </x:c>
      <x:c r="E11" s="40" t="str">
        <x:v>Check scoping/comment notices, project webpage, mailing list, comment period, substantive comments, eligibility for objection</x:v>
      </x:c>
      <x:c r="F11" s="40" t="str">
        <x:v>Usually</x:v>
      </x:c>
      <x:c r="G11" s="41" t="str">
        <x:v>Some emergency/statutory paths modify process</x:v>
      </x:c>
    </x:row>
    <x:row r="12" ht="58" customHeight="1">
      <x:c r="A12" s="39" t="str">
        <x:v>EA-REC-008</x:v>
      </x:c>
      <x:c r="B12" s="40" t="str">
        <x:v>Tribal/government-to-government consultation record</x:v>
      </x:c>
      <x:c r="C12" s="40" t="str">
        <x:v>https://www.federalregister.gov/documents/2000/11/09/00-29003/consultation-and-coordination-with-indian-tribal-governments</x:v>
      </x:c>
      <x:c r="D12" s="40" t="str">
        <x:v>Triggered by Tribal implications/cultural/treaty/sacred-site interests</x:v>
      </x:c>
      <x:c r="E12" s="40" t="str">
        <x:v>Check Tribal contacts, consultation offers/meetings, issues raised, responses, confidentiality protections</x:v>
      </x:c>
      <x:c r="F12" s="40" t="str">
        <x:v>Conditional</x:v>
      </x:c>
      <x:c r="G12" s="41" t="str">
        <x:v>Often required for cultural resources and sacred sites</x:v>
      </x:c>
    </x:row>
    <x:row r="13" ht="58" customHeight="1">
      <x:c r="A13" s="39" t="str">
        <x:v>EA-REC-009</x:v>
      </x:c>
      <x:c r="B13" s="40" t="str">
        <x:v>Issues analyzed in detail and issues dismissed</x:v>
      </x:c>
      <x:c r="C13" s="40" t="str">
        <x:v>https://www.ecfr.gov/current/title-7/subtitle-A/part-1b/section-1b.5</x:v>
      </x:c>
      <x:c r="D13" s="40" t="str">
        <x:v>Every EA</x:v>
      </x:c>
      <x:c r="E13" s="40" t="str">
        <x:v>Check issues are tied to effects and decision; dismissed issues have reasoned rationale and/or no measurable effect</x:v>
      </x:c>
      <x:c r="F13" s="40" t="str">
        <x:v>Yes</x:v>
      </x:c>
      <x:c r="G13" s="41" t="str">
        <x:v>Avoid legacy cumulative/indirect labels as binding checklist</x:v>
      </x:c>
    </x:row>
    <x:row r="14" ht="58" customHeight="1">
      <x:c r="A14" s="39" t="str">
        <x:v>EA-REC-010</x:v>
      </x:c>
      <x:c r="B14" s="40" t="str">
        <x:v>Alternatives section</x:v>
      </x:c>
      <x:c r="C14" s="40" t="str">
        <x:v>https://www.ecfr.gov/current/title-7/subtitle-A/part-1b/section-1b.5</x:v>
      </x:c>
      <x:c r="D14" s="40" t="str">
        <x:v>Every EA; alternatives beyond no action/proposed action if needed</x:v>
      </x:c>
      <x:c r="E14" s="40" t="str">
        <x:v>Check no-action baseline, proposed action, reasonable alternatives when required, and rationale for alternatives eliminated</x:v>
      </x:c>
      <x:c r="F14" s="40" t="str">
        <x:v>Yes</x:v>
      </x:c>
      <x:c r="G14" s="41" t="str">
        <x:v>EA alternatives are commensurate with decision needs</x:v>
      </x:c>
    </x:row>
    <x:row r="15" ht="58" customHeight="1">
      <x:c r="A15" s="39" t="str">
        <x:v>EA-REC-011</x:v>
      </x:c>
      <x:c r="B15" s="40" t="str">
        <x:v>Affected environment</x:v>
      </x:c>
      <x:c r="C15" s="40" t="str">
        <x:v>https://www.ecfr.gov/current/title-7/subtitle-A/part-1b/section-1b.5</x:v>
      </x:c>
      <x:c r="D15" s="40" t="str">
        <x:v>Every EA</x:v>
      </x:c>
      <x:c r="E15" s="40" t="str">
        <x:v>Check concise baseline for resources with meaningful effects, using reliable data and avoiding unnecessary research</x:v>
      </x:c>
      <x:c r="F15" s="40" t="str">
        <x:v>Yes</x:v>
      </x:c>
      <x:c r="G15" s="41" t="str">
        <x:v>Must support effects analysis</x:v>
      </x:c>
    </x:row>
    <x:row r="16" ht="58" customHeight="1">
      <x:c r="A16" s="39" t="str">
        <x:v>EA-REC-012</x:v>
      </x:c>
      <x:c r="B16" s="40" t="str">
        <x:v>Environmental effects analysis</x:v>
      </x:c>
      <x:c r="C16" s="40" t="str">
        <x:v>https://www.ecfr.gov/current/title-7/subtitle-A/part-1b/section-1b.2</x:v>
      </x:c>
      <x:c r="D16" s="40" t="str">
        <x:v>Every EA</x:v>
      </x:c>
      <x:c r="E16" s="40" t="str">
        <x:v>Verify reasonably foreseeable effects, close causal relationship, short/long-term and beneficial/adverse effects, public health/safety, economic and quality-of-life factors where relevant</x:v>
      </x:c>
      <x:c r="F16" s="40" t="str">
        <x:v>Yes</x:v>
      </x:c>
      <x:c r="G16" s="41" t="str">
        <x:v>Use Seven County and 7 CFR 1b framework</x:v>
      </x:c>
    </x:row>
    <x:row r="17" ht="58" customHeight="1">
      <x:c r="A17" s="39" t="str">
        <x:v>EA-REC-013</x:v>
      </x:c>
      <x:c r="B17" s="40" t="str">
        <x:v>Forest plan consistency finding</x:v>
      </x:c>
      <x:c r="C17" s="40" t="str">
        <x:v>https://www.ecfr.gov/current/title-36/chapter-II/part-219/section-219.15</x:v>
      </x:c>
      <x:c r="D17" s="40" t="str">
        <x:v>Every EA</x:v>
      </x:c>
      <x:c r="E17" s="40" t="str">
        <x:v>Check applicable forest/grassland plan, plan components, standards/guidelines/objectives/suitability, project-specific amendment if needed</x:v>
      </x:c>
      <x:c r="F17" s="40" t="str">
        <x:v>Yes</x:v>
      </x:c>
      <x:c r="G17" s="41" t="str">
        <x:v>Critical R1 EA gate</x:v>
      </x:c>
    </x:row>
    <x:row r="18" ht="58" customHeight="1">
      <x:c r="A18" s="39" t="str">
        <x:v>EA-REC-014</x:v>
      </x:c>
      <x:c r="B18" s="40" t="str">
        <x:v>Resource compliance matrix</x:v>
      </x:c>
      <x:c r="C18" s="40" t="str">
        <x:v>https://www.ecfr.gov/current/title-7/subtitle-A/part-1b/section-1b.2</x:v>
      </x:c>
      <x:c r="D18" s="40" t="str">
        <x:v>Every EA</x:v>
      </x:c>
      <x:c r="E18" s="40" t="str">
        <x:v>Matrix must show triggered/not triggered/unresolved for ESA, NHPA, CWA, CAA, MBTA, eagles, Tribal, wetlands/floodplains, roadless, WSR, etc.</x:v>
      </x:c>
      <x:c r="F18" s="40" t="str">
        <x:v>Yes</x:v>
      </x:c>
      <x:c r="G18" s="41" t="str">
        <x:v>Engine can cross-check against project features</x:v>
      </x:c>
    </x:row>
    <x:row r="19" ht="58" customHeight="1">
      <x:c r="A19" s="39" t="str">
        <x:v>EA-REC-015</x:v>
      </x:c>
      <x:c r="B19" s="40" t="str">
        <x:v>ESA biological evaluation/assessment and consultation record</x:v>
      </x:c>
      <x:c r="C19" s="40" t="str">
        <x:v>https://www.ecfr.gov/current/title-50/chapter-IV/subchapter-A/part-402</x:v>
      </x:c>
      <x:c r="D19" s="40" t="str">
        <x:v>Triggered by listed species/critical habitat or sensitive species</x:v>
      </x:c>
      <x:c r="E19" s="40" t="str">
        <x:v>Check species list, action area, determinations, concurrence/BO, design features, reinitiation triggers</x:v>
      </x:c>
      <x:c r="F19" s="40" t="str">
        <x:v>Conditional</x:v>
      </x:c>
      <x:c r="G19" s="41" t="str">
        <x:v>Required where ESA or FSM 2670 triggers</x:v>
      </x:c>
    </x:row>
    <x:row r="20" ht="58" customHeight="1">
      <x:c r="A20" s="39" t="str">
        <x:v>EA-REC-016</x:v>
      </x:c>
      <x:c r="B20" s="40" t="str">
        <x:v>NHPA Section 106 file</x:v>
      </x:c>
      <x:c r="C20" s="40" t="str">
        <x:v>https://www.ecfr.gov/current/title-36/chapter-VIII/part-800</x:v>
      </x:c>
      <x:c r="D20" s="40" t="str">
        <x:v>Triggered by undertaking with potential to affect historic properties</x:v>
      </x:c>
      <x:c r="E20" s="40" t="str">
        <x:v>Check APE, inventory/evaluation, SHPO/THPO/Tribal consultation, effect finding, MOA/PA if adverse effect</x:v>
      </x:c>
      <x:c r="F20" s="40" t="str">
        <x:v>Conditional</x:v>
      </x:c>
      <x:c r="G20" s="41" t="str">
        <x:v>Most ground-disturbing projects</x:v>
      </x:c>
    </x:row>
    <x:row r="21" ht="58" customHeight="1">
      <x:c r="A21" s="39" t="str">
        <x:v>EA-REC-017</x:v>
      </x:c>
      <x:c r="B21" s="40" t="str">
        <x:v>Permits/approvals table</x:v>
      </x:c>
      <x:c r="C21" s="40" t="str">
        <x:v>https://www.ecfr.gov/current/title-7/subtitle-A/part-1b/section-1b.5</x:v>
      </x:c>
      <x:c r="D21" s="40" t="str">
        <x:v>Every EA with external permits/authorizations</x:v>
      </x:c>
      <x:c r="E21" s="40" t="str">
        <x:v>Check CWA, Corps, state 401, air, UIC, special use, ROW, mining, grazing, timber, and other approvals/status</x:v>
      </x:c>
      <x:c r="F21" s="40" t="str">
        <x:v>Usually</x:v>
      </x:c>
      <x:c r="G21" s="41" t="str">
        <x:v>FONSI should not rely on missing unresolved approvals without explanation</x:v>
      </x:c>
    </x:row>
    <x:row r="22" ht="58" customHeight="1">
      <x:c r="A22" s="39" t="str">
        <x:v>EA-REC-018</x:v>
      </x:c>
      <x:c r="B22" s="40" t="str">
        <x:v>Mitigation/design features and enforceability</x:v>
      </x:c>
      <x:c r="C22" s="40" t="str">
        <x:v>https://www.ecfr.gov/current/title-7/subtitle-A/part-1b/section-1b.6</x:v>
      </x:c>
      <x:c r="D22" s="40" t="str">
        <x:v>Every EA relying on mitigation/design features</x:v>
      </x:c>
      <x:c r="E22" s="40" t="str">
        <x:v>Check mitigation is specific, enforceable through DN/FONSI/permit/contract, and supported by monitoring if relied upon for FONSI</x:v>
      </x:c>
      <x:c r="F22" s="40" t="str">
        <x:v>Yes if mitigation used</x:v>
      </x:c>
      <x:c r="G22" s="41" t="str">
        <x:v>Flag aspirational measures</x:v>
      </x:c>
    </x:row>
    <x:row r="23" ht="58" customHeight="1">
      <x:c r="A23" s="39" t="str">
        <x:v>EA-REC-019</x:v>
      </x:c>
      <x:c r="B23" s="40" t="str">
        <x:v>Monitoring/adaptive management commitments</x:v>
      </x:c>
      <x:c r="C23" s="40" t="str">
        <x:v>https://www.ecfr.gov/current/title-7/subtitle-A/part-1b/section-1b.6</x:v>
      </x:c>
      <x:c r="D23" s="40" t="str">
        <x:v>When monitoring/adaptive management supports impact conclusions or mitigation</x:v>
      </x:c>
      <x:c r="E23" s="40" t="str">
        <x:v>Check triggers, thresholds, responsible party, reporting, corrective actions</x:v>
      </x:c>
      <x:c r="F23" s="40" t="str">
        <x:v>Conditional</x:v>
      </x:c>
      <x:c r="G23" s="41" t="str">
        <x:v>Especially useful for restoration, grazing, roads, and herbicide projects</x:v>
      </x:c>
    </x:row>
    <x:row r="24" ht="58" customHeight="1">
      <x:c r="A24" s="39" t="str">
        <x:v>EA-REC-020</x:v>
      </x:c>
      <x:c r="B24" s="40" t="str">
        <x:v>FONSI significance rationale</x:v>
      </x:c>
      <x:c r="C24" s="40" t="str">
        <x:v>https://www.ecfr.gov/current/title-7/subtitle-A/part-1b/section-1b.6</x:v>
      </x:c>
      <x:c r="D24" s="40" t="str">
        <x:v>Every EA concluding no significant impact</x:v>
      </x:c>
      <x:c r="E24" s="40" t="str">
        <x:v>Check affected environment, degree of effects, mitigation, uncertainty, controversy, plan/resource law compliance, and EIS escalation if significant effects likely</x:v>
      </x:c>
      <x:c r="F24" s="40" t="str">
        <x:v>Yes</x:v>
      </x:c>
      <x:c r="G24" s="41" t="str">
        <x:v>Core FONSI validation</x:v>
      </x:c>
    </x:row>
    <x:row r="25" ht="58" customHeight="1">
      <x:c r="A25" s="39" t="str">
        <x:v>EA-REC-021</x:v>
      </x:c>
      <x:c r="B25" s="40" t="str">
        <x:v>Decision Notice / FONSI package</x:v>
      </x:c>
      <x:c r="C25" s="40" t="str">
        <x:v>https://www.ecfr.gov/current/title-7/subtitle-A/part-1b/section-1b.6</x:v>
      </x:c>
      <x:c r="D25" s="40" t="str">
        <x:v>Every final EA decision</x:v>
      </x:c>
      <x:c r="E25" s="40" t="str">
        <x:v>Check selected alternative, rationale, finding, mitigation/design features, implementation timing, administrative review notice, and appeal/objection status</x:v>
      </x:c>
      <x:c r="F25" s="40" t="str">
        <x:v>Yes</x:v>
      </x:c>
      <x:c r="G25" s="41" t="str">
        <x:v>Final decision package</x:v>
      </x:c>
    </x:row>
    <x:row r="26" ht="58" customHeight="1">
      <x:c r="A26" s="39" t="str">
        <x:v>EA-REC-022</x:v>
      </x:c>
      <x:c r="B26" s="40" t="str">
        <x:v>36 CFR part 218 objection record</x:v>
      </x:c>
      <x:c r="C26" s="40" t="str">
        <x:v>https://www.ecfr.gov/current/title-36/chapter-II/part-218</x:v>
      </x:c>
      <x:c r="D26" s="40" t="str">
        <x:v>Objection-eligible EA</x:v>
      </x:c>
      <x:c r="E26" s="40" t="str">
        <x:v>Check draft EA notice, objection eligibility, objections received, reviewing officer response, instructions incorporated before signature</x:v>
      </x:c>
      <x:c r="F26" s="40" t="str">
        <x:v>Usually</x:v>
      </x:c>
      <x:c r="G26" s="41" t="str">
        <x:v>Some decisions may use 36 CFR part 214 or statutory no-review path</x:v>
      </x:c>
    </x:row>
    <x:row r="27" ht="58" customHeight="1">
      <x:c r="A27" s="39" t="str">
        <x:v>EA-REC-023</x:v>
      </x:c>
      <x:c r="B27" s="40" t="str">
        <x:v>36 CFR part 214 appeal record</x:v>
      </x:c>
      <x:c r="C27" s="40" t="str">
        <x:v>https://www.ecfr.gov/current/title-36/chapter-II/part-214</x:v>
      </x:c>
      <x:c r="D27" s="40" t="str">
        <x:v>Appealable written authorizations</x:v>
      </x:c>
      <x:c r="E27" s="40" t="str">
        <x:v>Check notice of appeal rights, appeal period, and finality for permits/plans/contracts covered by part 214</x:v>
      </x:c>
      <x:c r="F27" s="40" t="str">
        <x:v>Conditional</x:v>
      </x:c>
      <x:c r="G27" s="41" t="str">
        <x:v>Special uses, grazing, mining, mineral materials</x:v>
      </x:c>
    </x:row>
    <x:row r="28" ht="58" customHeight="1">
      <x:c r="A28" s="39" t="str">
        <x:v>EA-REC-024</x:v>
      </x:c>
      <x:c r="B28" s="40" t="str">
        <x:v>Project record / proposal record</x:v>
      </x:c>
      <x:c r="C28" s="40" t="str">
        <x:v>https://www.ecfr.gov/current/title-7/subtitle-A/part-1b/section-1b.9</x:v>
      </x:c>
      <x:c r="D28" s="40" t="str">
        <x:v>Every EA</x:v>
      </x:c>
      <x:c r="E28" s="40" t="str">
        <x:v>Check communications, comments, technical reports, data sources, alternatives, consultations, legal reviews, and final documents are in project record</x:v>
      </x:c>
      <x:c r="F28" s="40" t="str">
        <x:v>Yes</x:v>
      </x:c>
      <x:c r="G28" s="41" t="str">
        <x:v>Important for review engine audit trail</x:v>
      </x:c>
    </x:row>
    <x:row r="29" ht="58" customHeight="1">
      <x:c r="A29" s="39" t="str">
        <x:v>EA-REC-025</x:v>
      </x:c>
      <x:c r="B29" s="40" t="str">
        <x:v>Applicant/third-party preparation disclosure and independent review</x:v>
      </x:c>
      <x:c r="C29" s="40" t="str">
        <x:v>https://www.ecfr.gov/current/title-7/subtitle-A/part-1b/section-1b.10</x:v>
      </x:c>
      <x:c r="D29" s="40" t="str">
        <x:v>Applicant/contractor prepared material</x:v>
      </x:c>
      <x:c r="E29" s="40" t="str">
        <x:v>Check agency controls scope/content, independently evaluates material, and discloses financial interests</x:v>
      </x:c>
      <x:c r="F29" s="40" t="str">
        <x:v>Conditional</x:v>
      </x:c>
      <x:c r="G29" s="41" t="str">
        <x:v>Special use/mining/ROW projects</x:v>
      </x:c>
    </x:row>
    <x:row r="30" ht="58" customHeight="1">
      <x:c r="A30" s="39" t="str">
        <x:v>EA-REC-026</x:v>
      </x:c>
      <x:c r="B30" s="40" t="str">
        <x:v>Programmatic/tiering validation</x:v>
      </x:c>
      <x:c r="C30" s="40" t="str">
        <x:v>https://uscode.house.gov/view.xhtml?req=(title:42%20section:4336b%20edition:prelim)</x:v>
      </x:c>
      <x:c r="D30" s="40" t="str">
        <x:v>EA tiers to programmatic EIS/EA or prior NEPA</x:v>
      </x:c>
      <x:c r="E30" s="40" t="str">
        <x:v>Check programmatic document age, reevaluation, new circumstances/information, and site-specific linkage</x:v>
      </x:c>
      <x:c r="F30" s="40" t="str">
        <x:v>Conditional</x:v>
      </x:c>
      <x:c r="G30" s="41" t="str">
        <x:v>Avoid stale programmatic reliance</x:v>
      </x:c>
    </x:row>
    <x:row r="31" ht="58" customHeight="1">
      <x:c r="A31" s="42" t="str">
        <x:v>EA-REC-027</x:v>
      </x:c>
      <x:c r="B31" s="43" t="str">
        <x:v>Emergency arrangements record</x:v>
      </x:c>
      <x:c r="C31" s="43" t="str">
        <x:v>https://www.ecfr.gov/current/title-7/subtitle-A/part-1b/section-1b.9</x:v>
      </x:c>
      <x:c r="D31" s="43" t="str">
        <x:v>Emergency action or expedited review</x:v>
      </x:c>
      <x:c r="E31" s="43" t="str">
        <x:v>Check emergency basis, probable consequences, alternatives/mitigation practicable, and approvals/consultation for arrangements</x:v>
      </x:c>
      <x:c r="F31" s="43" t="str">
        <x:v>Conditional</x:v>
      </x:c>
      <x:c r="G31" s="44" t="str">
        <x:v>Use with HFRA/emergency authorities when relevant</x:v>
      </x:c>
    </x:row>
    <x:row r="32">
      <x:c r="A32" s="30"/>
      <x:c r="B32" s="30"/>
      <x:c r="C32" s="30"/>
      <x:c r="D32" s="30"/>
      <x:c r="E32" s="30"/>
      <x:c r="F32" s="30"/>
      <x:c r="G32" s="30"/>
    </x:row>
  </x:sheetData>
  <x:conditionalFormatting sqref="F5:F31">
    <x:cfRule type="containsText" dxfId="1" priority="1" operator="containsText" text="Ingest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65" hidden="0" customWidth="1"/>
    <x:col min="4" max="4" width="42" hidden="0" customWidth="1"/>
    <x:col min="5" max="5" width="66" hidden="0" customWidth="1"/>
    <x:col min="6" max="6" width="28" hidden="0" customWidth="1"/>
    <x:col min="7" max="7" width="28" hidden="0" customWidth="1"/>
  </x:cols>
  <x:sheetData>
    <x:row r="1" ht="26" customHeight="1">
      <x:c r="A1" s="28" t="str">
        <x:v>Project-Specific Add-On Documents</x:v>
      </x:c>
      <x:c r="B1" s="28" t="str"/>
      <x:c r="C1" s="28" t="str"/>
      <x:c r="D1" s="28" t="str"/>
      <x:c r="E1" s="28" t="str"/>
      <x:c r="F1" s="28" t="str"/>
      <x:c r="G1" s="28" t="str"/>
    </x:row>
    <x:row r="2" ht="32" customHeight="1">
      <x:c r="A2" s="29" t="str">
        <x:v>Require these documents when project facts trigger the corresponding source or resource issue.</x:v>
      </x:c>
      <x:c r="B2" s="29" t="str"/>
      <x:c r="C2" s="29" t="str"/>
      <x:c r="D2" s="29" t="str"/>
      <x:c r="E2" s="29" t="str"/>
      <x:c r="F2" s="29" t="str"/>
      <x:c r="G2" s="29" t="str"/>
    </x:row>
    <x:row r="3">
      <x:c r="A3" s="30"/>
      <x:c r="B3" s="30"/>
      <x:c r="C3" s="30"/>
      <x:c r="D3" s="30"/>
      <x:c r="E3" s="30"/>
      <x:c r="F3" s="30"/>
      <x:c r="G3" s="30"/>
    </x:row>
    <x:row r="4" ht="36" customHeight="1">
      <x:c r="A4" s="36" t="str">
        <x:v>AddOn_ID</x:v>
      </x:c>
      <x:c r="B4" s="37" t="str">
        <x:v>Project-Specific Document to Require</x:v>
      </x:c>
      <x:c r="C4" s="37" t="str">
        <x:v>Source_Link</x:v>
      </x:c>
      <x:c r="D4" s="37" t="str">
        <x:v>Trigger</x:v>
      </x:c>
      <x:c r="E4" s="37" t="str">
        <x:v>Engine_Rule</x:v>
      </x:c>
      <x:c r="F4" s="37" t="str">
        <x:v>Owner / Typical Specialist</x:v>
      </x:c>
      <x:c r="G4" s="38" t="str">
        <x:v>Applies_in_R1_EA</x:v>
      </x:c>
    </x:row>
    <x:row r="5" ht="58" customHeight="1">
      <x:c r="A5" s="39" t="str">
        <x:v>ADD-001</x:v>
      </x:c>
      <x:c r="B5" s="40" t="str">
        <x:v>Applicable forest/grassland land management plan and amendments</x:v>
      </x:c>
      <x:c r="C5" s="40" t="str">
        <x:v>https://www.fs.usda.gov/r01/planning</x:v>
      </x:c>
      <x:c r="D5" s="40" t="str">
        <x:v>Every EA</x:v>
      </x:c>
      <x:c r="E5" s="40" t="str">
        <x:v>Resolve unit from GIS/project metadata and require current plan source from R1_Forest_Plans sheet</x:v>
      </x:c>
      <x:c r="F5" s="40" t="str">
        <x:v>Planner</x:v>
      </x:c>
      <x:c r="G5" s="41" t="str">
        <x:v>All Region 1 EAs</x:v>
      </x:c>
    </x:row>
    <x:row r="6" ht="58" customHeight="1">
      <x:c r="A6" s="39" t="str">
        <x:v>ADD-002</x:v>
      </x:c>
      <x:c r="B6" s="40" t="str">
        <x:v>Forest plan consistency checklist</x:v>
      </x:c>
      <x:c r="C6" s="40" t="str">
        <x:v>https://www.ecfr.gov/current/title-36/chapter-II/part-219/section-219.15</x:v>
      </x:c>
      <x:c r="D6" s="40" t="str">
        <x:v>Every EA</x:v>
      </x:c>
      <x:c r="E6" s="40" t="str">
        <x:v>Require explicit consistency finding for each relevant standard/guideline/objective/suitability/designated-area component</x:v>
      </x:c>
      <x:c r="F6" s="40" t="str">
        <x:v>Planner/ID Team</x:v>
      </x:c>
      <x:c r="G6" s="41" t="str">
        <x:v>All Region 1 EAs</x:v>
      </x:c>
    </x:row>
    <x:row r="7" ht="58" customHeight="1">
      <x:c r="A7" s="39" t="str">
        <x:v>ADD-003</x:v>
      </x:c>
      <x:c r="B7" s="40" t="str">
        <x:v>Project maps/GIS layers, legal description, road/trail IDs, watershed, ownership, and special-area layers</x:v>
      </x:c>
      <x:c r="C7" s="40" t="str">
        <x:v>https://www.fs.usda.gov/r01/geospatial-data</x:v>
      </x:c>
      <x:c r="D7" s="40" t="str">
        <x:v>Every EA</x:v>
      </x:c>
      <x:c r="E7" s="40" t="str">
        <x:v>Require GIS package sufficient to validate location triggers and quantitative project features</x:v>
      </x:c>
      <x:c r="F7" s="40" t="str">
        <x:v>GIS/Planner</x:v>
      </x:c>
      <x:c r="G7" s="41" t="str">
        <x:v>All Region 1 EAs</x:v>
      </x:c>
    </x:row>
    <x:row r="8" ht="58" customHeight="1">
      <x:c r="A8" s="39" t="str">
        <x:v>ADD-004</x:v>
      </x:c>
      <x:c r="B8" s="40" t="str">
        <x:v>Region 1 sensitive species/SCC screen</x:v>
      </x:c>
      <x:c r="C8" s="40" t="str">
        <x:v>https://www.fs.usda.gov/r01/planning/species-conservation-concern</x:v>
      </x:c>
      <x:c r="D8" s="40" t="str">
        <x:v>Every biological resources EA</x:v>
      </x:c>
      <x:c r="E8" s="40" t="str">
        <x:v>Require current RFSS/SCC lists for affected unit and comparison against project effects</x:v>
      </x:c>
      <x:c r="F8" s="40" t="str">
        <x:v>Wildlife/Botany/Fisheries</x:v>
      </x:c>
      <x:c r="G8" s="41" t="str">
        <x:v>All Region 1 EAs with species resources</x:v>
      </x:c>
    </x:row>
    <x:row r="9" ht="58" customHeight="1">
      <x:c r="A9" s="39" t="str">
        <x:v>ADD-005</x:v>
      </x:c>
      <x:c r="B9" s="40" t="str">
        <x:v>Biological Evaluation / Biological Assessment / ESA consultation record</x:v>
      </x:c>
      <x:c r="C9" s="40" t="str">
        <x:v>https://www.ecfr.gov/current/title-50/chapter-IV/subchapter-A/part-402</x:v>
      </x:c>
      <x:c r="D9" s="40" t="str">
        <x:v>Listed/proposed species, critical habitat, sensitive species, SCC, or biological effects</x:v>
      </x:c>
      <x:c r="E9" s="40" t="str">
        <x:v>Require determinations, consultation status, concurrence/BO, and design features</x:v>
      </x:c>
      <x:c r="F9" s="40" t="str">
        <x:v>Wildlife/Botany/Fisheries</x:v>
      </x:c>
      <x:c r="G9" s="41" t="str">
        <x:v>Triggered</x:v>
      </x:c>
    </x:row>
    <x:row r="10" ht="58" customHeight="1">
      <x:c r="A10" s="39" t="str">
        <x:v>ADD-006</x:v>
      </x:c>
      <x:c r="B10" s="40" t="str">
        <x:v>U.S. Fish and Wildlife Service species list / IPaC or official species list</x:v>
      </x:c>
      <x:c r="C10" s="40" t="str">
        <x:v>https://ipac.ecosphere.fws.gov/</x:v>
      </x:c>
      <x:c r="D10" s="40" t="str">
        <x:v>ESA species screening</x:v>
      </x:c>
      <x:c r="E10" s="40" t="str">
        <x:v>Require current list or official consultation documentation in record</x:v>
      </x:c>
      <x:c r="F10" s="40" t="str">
        <x:v>Wildlife/Botany</x:v>
      </x:c>
      <x:c r="G10" s="41" t="str">
        <x:v>Triggered</x:v>
      </x:c>
    </x:row>
    <x:row r="11" ht="58" customHeight="1">
      <x:c r="A11" s="39" t="str">
        <x:v>ADD-007</x:v>
      </x:c>
      <x:c r="B11" s="40" t="str">
        <x:v>NMFS species/EFH consultation documents</x:v>
      </x:c>
      <x:c r="C11" s="40" t="str">
        <x:v>https://www.fisheries.noaa.gov/topic/consultations</x:v>
      </x:c>
      <x:c r="D11" s="40" t="str">
        <x:v>EFH/anadromous fish or NMFS-listed species</x:v>
      </x:c>
      <x:c r="E11" s="40" t="str">
        <x:v>Require EFH assessment/NMFS response or ESA consultation if triggered</x:v>
      </x:c>
      <x:c r="F11" s="40" t="str">
        <x:v>Fisheries</x:v>
      </x:c>
      <x:c r="G11" s="41" t="str">
        <x:v>Triggered, mostly Idaho/Columbia Basin drainages</x:v>
      </x:c>
    </x:row>
    <x:row r="12" ht="58" customHeight="1">
      <x:c r="A12" s="39" t="str">
        <x:v>ADD-008</x:v>
      </x:c>
      <x:c r="B12" s="40" t="str">
        <x:v>NHPA Section 106 cultural resources report and consultation correspondence</x:v>
      </x:c>
      <x:c r="C12" s="40" t="str">
        <x:v>https://www.ecfr.gov/current/title-36/chapter-VIII/part-800</x:v>
      </x:c>
      <x:c r="D12" s="40" t="str">
        <x:v>Undertaking may affect historic properties</x:v>
      </x:c>
      <x:c r="E12" s="40" t="str">
        <x:v>Require APE, inventory, eligibility, effect finding, SHPO/THPO/Tribal letters, MOA/PA if needed</x:v>
      </x:c>
      <x:c r="F12" s="40" t="str">
        <x:v>Heritage</x:v>
      </x:c>
      <x:c r="G12" s="41" t="str">
        <x:v>Triggered</x:v>
      </x:c>
    </x:row>
    <x:row r="13" ht="58" customHeight="1">
      <x:c r="A13" s="39" t="str">
        <x:v>ADD-009</x:v>
      </x:c>
      <x:c r="B13" s="40" t="str">
        <x:v>State SHPO project-review submission/response for applicable state</x:v>
      </x:c>
      <x:c r="C13" s="40" t="str">
        <x:v>https://mths.mt.gov/Shpo/index2</x:v>
      </x:c>
      <x:c r="D13" s="40" t="str">
        <x:v>Montana §106 consultation</x:v>
      </x:c>
      <x:c r="E13" s="40" t="str">
        <x:v>Require current state-specific SHPO correspondence; use state row in ingest sheet for ID/ND/SD/WA when applicable</x:v>
      </x:c>
      <x:c r="F13" s="40" t="str">
        <x:v>Heritage</x:v>
      </x:c>
      <x:c r="G13" s="41" t="str">
        <x:v>Triggered by state</x:v>
      </x:c>
    </x:row>
    <x:row r="14" ht="58" customHeight="1">
      <x:c r="A14" s="39" t="str">
        <x:v>ADD-010</x:v>
      </x:c>
      <x:c r="B14" s="40" t="str">
        <x:v>Tribal consultation log and treaty/trust/sacred-site screen</x:v>
      </x:c>
      <x:c r="C14" s="40" t="str">
        <x:v>https://www.federalregister.gov/documents/2000/11/09/00-29003/consultation-and-coordination-with-indian-tribal-governments</x:v>
      </x:c>
      <x:c r="D14" s="40" t="str">
        <x:v>Tribal implications, cultural resources, sacred sites, treaty rights</x:v>
      </x:c>
      <x:c r="E14" s="40" t="str">
        <x:v>Require government-to-government correspondence, meetings, concerns, responses, confidentiality controls</x:v>
      </x:c>
      <x:c r="F14" s="40" t="str">
        <x:v>Line Officer/Tribal Liaison/Heritage</x:v>
      </x:c>
      <x:c r="G14" s="41" t="str">
        <x:v>Triggered</x:v>
      </x:c>
    </x:row>
    <x:row r="15" ht="58" customHeight="1">
      <x:c r="A15" s="39" t="str">
        <x:v>ADD-011</x:v>
      </x:c>
      <x:c r="B15" s="40" t="str">
        <x:v>Sacred site / RFRA/AIRFA analysis memorandum</x:v>
      </x:c>
      <x:c r="C15" s="40" t="str">
        <x:v>https://www.federalregister.gov/documents/1996/05/29/96-13597/indian-sacred-sites</x:v>
      </x:c>
      <x:c r="D15" s="40" t="str">
        <x:v>Potential sacred site/religious exercise issue</x:v>
      </x:c>
      <x:c r="E15" s="40" t="str">
        <x:v>Require legal/Tribal/heritage review and accommodation/avoidance rationale</x:v>
      </x:c>
      <x:c r="F15" s="40" t="str">
        <x:v>Line Officer/Heritage/OGC</x:v>
      </x:c>
      <x:c r="G15" s="41" t="str">
        <x:v>Triggered</x:v>
      </x:c>
    </x:row>
    <x:row r="16" ht="58" customHeight="1">
      <x:c r="A16" s="39" t="str">
        <x:v>ADD-012</x:v>
      </x:c>
      <x:c r="B16" s="40" t="str">
        <x:v>ARPA permit or archaeological resource confidentiality determination</x:v>
      </x:c>
      <x:c r="C16" s="40" t="str">
        <x:v>https://www.ecfr.gov/current/title-36/chapter-II/part-296</x:v>
      </x:c>
      <x:c r="D16" s="40" t="str">
        <x:v>Excavation/removal or protected archaeological data</x:v>
      </x:c>
      <x:c r="E16" s="40" t="str">
        <x:v>Require permit/exception and site confidentiality handling</x:v>
      </x:c>
      <x:c r="F16" s="40" t="str">
        <x:v>Heritage</x:v>
      </x:c>
      <x:c r="G16" s="41" t="str">
        <x:v>Triggered</x:v>
      </x:c>
    </x:row>
    <x:row r="17" ht="58" customHeight="1">
      <x:c r="A17" s="39" t="str">
        <x:v>ADD-013</x:v>
      </x:c>
      <x:c r="B17" s="40" t="str">
        <x:v>NAGPRA discovery/inadvertent discovery plan</x:v>
      </x:c>
      <x:c r="C17" s="40" t="str">
        <x:v>https://www.ecfr.gov/current/title-43/subtitle-A/part-10</x:v>
      </x:c>
      <x:c r="D17" s="40" t="str">
        <x:v>Ground disturbance where discovery possible or known cultural items</x:v>
      </x:c>
      <x:c r="E17" s="40" t="str">
        <x:v>Require stop-work, notification, consultation, custody/disposition procedures</x:v>
      </x:c>
      <x:c r="F17" s="40" t="str">
        <x:v>Heritage</x:v>
      </x:c>
      <x:c r="G17" s="41" t="str">
        <x:v>Triggered</x:v>
      </x:c>
    </x:row>
    <x:row r="18" ht="58" customHeight="1">
      <x:c r="A18" s="39" t="str">
        <x:v>ADD-014</x:v>
      </x:c>
      <x:c r="B18" s="40" t="str">
        <x:v>Hydrology/watershed report</x:v>
      </x:c>
      <x:c r="C18" s="40" t="str">
        <x:v>https://uscode.house.gov/view.xhtml?path=/prelim@title33/chapter26&amp;edition=prelim</x:v>
      </x:c>
      <x:c r="D18" s="40" t="str">
        <x:v>Project affects water, streams, wetlands, roads, harvest, grazing, fire, or soils</x:v>
      </x:c>
      <x:c r="E18" s="40" t="str">
        <x:v>Require watershed condition, water quality, sediment, riparian, floodplain/wetland effects</x:v>
      </x:c>
      <x:c r="F18" s="40" t="str">
        <x:v>Hydrology</x:v>
      </x:c>
      <x:c r="G18" s="41" t="str">
        <x:v>Triggered/common</x:v>
      </x:c>
    </x:row>
    <x:row r="19" ht="58" customHeight="1">
      <x:c r="A19" s="39" t="str">
        <x:v>ADD-015</x:v>
      </x:c>
      <x:c r="B19" s="40" t="str">
        <x:v>Wetland delineation and EO 11990 analysis</x:v>
      </x:c>
      <x:c r="C19" s="40" t="str">
        <x:v>https://www.epa.gov/cwa-404/protection-wetlands-executive-order-11990</x:v>
      </x:c>
      <x:c r="D19" s="40" t="str">
        <x:v>Wetland presence or wetland effects</x:v>
      </x:c>
      <x:c r="E19" s="40" t="str">
        <x:v>Require delineation, avoidance/minimization, mitigation, and CWA linkages</x:v>
      </x:c>
      <x:c r="F19" s="40" t="str">
        <x:v>Hydrology/Wetlands Specialist</x:v>
      </x:c>
      <x:c r="G19" s="41" t="str">
        <x:v>Triggered</x:v>
      </x:c>
    </x:row>
    <x:row r="20" ht="58" customHeight="1">
      <x:c r="A20" s="39" t="str">
        <x:v>ADD-016</x:v>
      </x:c>
      <x:c r="B20" s="40" t="str">
        <x:v>Floodplain analysis under EO 11988</x:v>
      </x:c>
      <x:c r="C20" s="40" t="str">
        <x:v>https://www.archives.gov/federal-register/codification/executive-order/11988.html</x:v>
      </x:c>
      <x:c r="D20" s="40" t="str">
        <x:v>Action in/affecting floodplain</x:v>
      </x:c>
      <x:c r="E20" s="40" t="str">
        <x:v>Require floodplain map, alternatives, avoidance/minimization, and public explanation as needed</x:v>
      </x:c>
      <x:c r="F20" s="40" t="str">
        <x:v>Hydrology/Engineering</x:v>
      </x:c>
      <x:c r="G20" s="41" t="str">
        <x:v>Triggered</x:v>
      </x:c>
    </x:row>
    <x:row r="21" ht="58" customHeight="1">
      <x:c r="A21" s="39" t="str">
        <x:v>ADD-017</x:v>
      </x:c>
      <x:c r="B21" s="40" t="str">
        <x:v>CWA §404 jurisdictional determination / Corps permit record</x:v>
      </x:c>
      <x:c r="C21" s="40" t="str">
        <x:v>https://www.ecfr.gov/current/title-33/chapter-II/part-323</x:v>
      </x:c>
      <x:c r="D21" s="40" t="str">
        <x:v>Dredge/fill/wetland/stream work</x:v>
      </x:c>
      <x:c r="E21" s="40" t="str">
        <x:v>Require JD, NWP/regional/individual permit, conditions, mitigation, and compliance tracking</x:v>
      </x:c>
      <x:c r="F21" s="40" t="str">
        <x:v>Hydrology/Engineering</x:v>
      </x:c>
      <x:c r="G21" s="41" t="str">
        <x:v>Triggered</x:v>
      </x:c>
    </x:row>
    <x:row r="22" ht="58" customHeight="1">
      <x:c r="A22" s="39" t="str">
        <x:v>ADD-018</x:v>
      </x:c>
      <x:c r="B22" s="40" t="str">
        <x:v>CWA §401 state/Tribal water quality certification or waiver</x:v>
      </x:c>
      <x:c r="C22" s="40" t="str">
        <x:v>https://uscode.house.gov/view.xhtml?req=(title:33%20section:1341%20edition:prelim)</x:v>
      </x:c>
      <x:c r="D22" s="40" t="str">
        <x:v>Federal permit/license with discharge</x:v>
      </x:c>
      <x:c r="E22" s="40" t="str">
        <x:v>Require state/Tribal 401 correspondence, certification/waiver/conditions; use applicable state source row</x:v>
      </x:c>
      <x:c r="F22" s="40" t="str">
        <x:v>Hydrology/Engineering</x:v>
      </x:c>
      <x:c r="G22" s="41" t="str">
        <x:v>Triggered</x:v>
      </x:c>
    </x:row>
    <x:row r="23" ht="58" customHeight="1">
      <x:c r="A23" s="39" t="str">
        <x:v>ADD-019</x:v>
      </x:c>
      <x:c r="B23" s="40" t="str">
        <x:v>NPDES/stormwater permit or SWPPP</x:v>
      </x:c>
      <x:c r="C23" s="40" t="str">
        <x:v>https://uscode.house.gov/view.xhtml?req=(title:33%20section:1342%20edition:prelim)</x:v>
      </x:c>
      <x:c r="D23" s="40" t="str">
        <x:v>Construction stormwater or point-source discharge</x:v>
      </x:c>
      <x:c r="E23" s="40" t="str">
        <x:v>Require permit coverage and pollution prevention controls</x:v>
      </x:c>
      <x:c r="F23" s="40" t="str">
        <x:v>Engineering/Hydrology</x:v>
      </x:c>
      <x:c r="G23" s="41" t="str">
        <x:v>Triggered</x:v>
      </x:c>
    </x:row>
    <x:row r="24" ht="58" customHeight="1">
      <x:c r="A24" s="39" t="str">
        <x:v>ADD-020</x:v>
      </x:c>
      <x:c r="B24" s="40" t="str">
        <x:v>Air emissions/general conformity/smoke management analysis</x:v>
      </x:c>
      <x:c r="C24" s="40" t="str">
        <x:v>https://www.ecfr.gov/current/title-40/chapter-I/subchapter-C/part-93/subpart-B</x:v>
      </x:c>
      <x:c r="D24" s="40" t="str">
        <x:v>Emissions or prescribed fire; nonattainment/maintenance area</x:v>
      </x:c>
      <x:c r="E24" s="40" t="str">
        <x:v>Require emissions estimate, conformity applicability, smoke-management plan/coordination where relevant</x:v>
      </x:c>
      <x:c r="F24" s="40" t="str">
        <x:v>Air/Fire</x:v>
      </x:c>
      <x:c r="G24" s="41" t="str">
        <x:v>Triggered</x:v>
      </x:c>
    </x:row>
    <x:row r="25" ht="58" customHeight="1">
      <x:c r="A25" s="39" t="str">
        <x:v>ADD-021</x:v>
      </x:c>
      <x:c r="B25" s="40" t="str">
        <x:v>Soils report using Region 1 soil management direction</x:v>
      </x:c>
      <x:c r="C25" s="40" t="str">
        <x:v>https://www.fs.usda.gov/im/directives/field/r1/fsm/2500/r1-2550.docx</x:v>
      </x:c>
      <x:c r="D25" s="40" t="str">
        <x:v>Ground disturbance, vegetation, roads, grazing, minerals, fire, restoration</x:v>
      </x:c>
      <x:c r="E25" s="40" t="str">
        <x:v>Require detrimental disturbance, soil productivity, erosion/compaction, mitigation, monitoring</x:v>
      </x:c>
      <x:c r="F25" s="40" t="str">
        <x:v>Soils</x:v>
      </x:c>
      <x:c r="G25" s="41" t="str">
        <x:v>Triggered/common</x:v>
      </x:c>
    </x:row>
    <x:row r="26" ht="58" customHeight="1">
      <x:c r="A26" s="39" t="str">
        <x:v>ADD-022</x:v>
      </x:c>
      <x:c r="B26" s="40" t="str">
        <x:v>Vegetation/silviculture/timber report</x:v>
      </x:c>
      <x:c r="C26" s="40" t="str">
        <x:v>https://www.ecfr.gov/current/title-36/chapter-II/part-223</x:v>
      </x:c>
      <x:c r="D26" s="40" t="str">
        <x:v>Timber/vegetation management</x:v>
      </x:c>
      <x:c r="E26" s="40" t="str">
        <x:v>Require treatment units, prescriptions, old growth/snags/downed wood, regeneration, harvest systems, plan consistency</x:v>
      </x:c>
      <x:c r="F26" s="40" t="str">
        <x:v>Silviculture/Vegetation</x:v>
      </x:c>
      <x:c r="G26" s="41" t="str">
        <x:v>Triggered</x:v>
      </x:c>
    </x:row>
    <x:row r="27" ht="58" customHeight="1">
      <x:c r="A27" s="39" t="str">
        <x:v>ADD-023</x:v>
      </x:c>
      <x:c r="B27" s="40" t="str">
        <x:v>Fire/fuels report and HFRA/statutory authority screen</x:v>
      </x:c>
      <x:c r="C27" s="40" t="str">
        <x:v>https://uscode.house.gov/view.xhtml?path=/prelim@title16/chapter84&amp;edition=prelim</x:v>
      </x:c>
      <x:c r="D27" s="40" t="str">
        <x:v>Hazardous fuels, wildfire resilience, post-fire recovery</x:v>
      </x:c>
      <x:c r="E27" s="40" t="str">
        <x:v>Require HFRA eligibility, WUI/condition class, fire behavior/risk, design features, smoke, objection/statutory process</x:v>
      </x:c>
      <x:c r="F27" s="40" t="str">
        <x:v>Fire/Fuels</x:v>
      </x:c>
      <x:c r="G27" s="41" t="str">
        <x:v>Triggered</x:v>
      </x:c>
    </x:row>
    <x:row r="28" ht="58" customHeight="1">
      <x:c r="A28" s="39" t="str">
        <x:v>ADD-024</x:v>
      </x:c>
      <x:c r="B28" s="40" t="str">
        <x:v>Range/allotment report and permit/AMP records</x:v>
      </x:c>
      <x:c r="C28" s="40" t="str">
        <x:v>https://www.ecfr.gov/current/title-36/chapter-II/part-222</x:v>
      </x:c>
      <x:c r="D28" s="40" t="str">
        <x:v>Grazing/allotment/range improvement</x:v>
      </x:c>
      <x:c r="E28" s="40" t="str">
        <x:v>Require allotment status, capacity, utilization, range improvements, monitoring, permit terms</x:v>
      </x:c>
      <x:c r="F28" s="40" t="str">
        <x:v>Range</x:v>
      </x:c>
      <x:c r="G28" s="41" t="str">
        <x:v>Triggered</x:v>
      </x:c>
    </x:row>
    <x:row r="29" ht="58" customHeight="1">
      <x:c r="A29" s="39" t="str">
        <x:v>ADD-025</x:v>
      </x:c>
      <x:c r="B29" s="40" t="str">
        <x:v>Roads/trails/travel management report and MVUM consistency</x:v>
      </x:c>
      <x:c r="C29" s="40" t="str">
        <x:v>https://www.ecfr.gov/current/title-36/chapter-II/part-212</x:v>
      </x:c>
      <x:c r="D29" s="40" t="str">
        <x:v>Road/trail construction, reconstruction, decommissioning, travel designation</x:v>
      </x:c>
      <x:c r="E29" s="40" t="str">
        <x:v>Require road IDs, maintenance levels, closure status, travel designation criteria, watershed/soil effects</x:v>
      </x:c>
      <x:c r="F29" s="40" t="str">
        <x:v>Engineering/Recreation</x:v>
      </x:c>
      <x:c r="G29" s="41" t="str">
        <x:v>Triggered</x:v>
      </x:c>
    </x:row>
    <x:row r="30" ht="58" customHeight="1">
      <x:c r="A30" s="39" t="str">
        <x:v>ADD-026</x:v>
      </x:c>
      <x:c r="B30" s="40" t="str">
        <x:v>Special-use authorization application/terms</x:v>
      </x:c>
      <x:c r="C30" s="40" t="str">
        <x:v>https://www.ecfr.gov/current/title-36/chapter-II/part-251</x:v>
      </x:c>
      <x:c r="D30" s="40" t="str">
        <x:v>Special use, utility, recreation event, communication site, outfitter/guide, easement</x:v>
      </x:c>
      <x:c r="E30" s="40" t="str">
        <x:v>Require application, screening, terms/conditions, cost recovery, plan consistency, mitigation</x:v>
      </x:c>
      <x:c r="F30" s="40" t="str">
        <x:v>Special Uses</x:v>
      </x:c>
      <x:c r="G30" s="41" t="str">
        <x:v>Triggered</x:v>
      </x:c>
    </x:row>
    <x:row r="31" ht="58" customHeight="1">
      <x:c r="A31" s="39" t="str">
        <x:v>ADD-027</x:v>
      </x:c>
      <x:c r="B31" s="40" t="str">
        <x:v>Minerals plan of operations / surface use plan / reclamation plan</x:v>
      </x:c>
      <x:c r="C31" s="40" t="str">
        <x:v>https://www.ecfr.gov/current/title-36/chapter-II/part-228</x:v>
      </x:c>
      <x:c r="D31" s="40" t="str">
        <x:v>Locatable/leasable/mineral material proposal</x:v>
      </x:c>
      <x:c r="E31" s="40" t="str">
        <x:v>Require operations plan, environmental protection measures, reclamation, financial assurance, DOI coordination</x:v>
      </x:c>
      <x:c r="F31" s="40" t="str">
        <x:v>Minerals</x:v>
      </x:c>
      <x:c r="G31" s="41" t="str">
        <x:v>Triggered</x:v>
      </x:c>
    </x:row>
    <x:row r="32" ht="58" customHeight="1">
      <x:c r="A32" s="39" t="str">
        <x:v>ADD-028</x:v>
      </x:c>
      <x:c r="B32" s="40" t="str">
        <x:v>Hazardous materials / contaminated sites survey</x:v>
      </x:c>
      <x:c r="C32" s="40" t="str">
        <x:v>https://www.ecfr.gov/current/title-40/chapter-I/subchapter-J/part-300</x:v>
      </x:c>
      <x:c r="D32" s="40" t="str">
        <x:v>Known/suspected contamination, mine lands, facilities, spills, waste</x:v>
      </x:c>
      <x:c r="E32" s="40" t="str">
        <x:v>Require site history, contamination controls, waste handling, cleanup coordination</x:v>
      </x:c>
      <x:c r="F32" s="40" t="str">
        <x:v>Engineering/HazMat</x:v>
      </x:c>
      <x:c r="G32" s="41" t="str">
        <x:v>Triggered</x:v>
      </x:c>
    </x:row>
    <x:row r="33" ht="58" customHeight="1">
      <x:c r="A33" s="39" t="str">
        <x:v>ADD-029</x:v>
      </x:c>
      <x:c r="B33" s="40" t="str">
        <x:v>Pesticide/herbicide label and risk analysis package</x:v>
      </x:c>
      <x:c r="C33" s="40" t="str">
        <x:v>https://www.epa.gov/enforcement/federal-insecticide-fungicide-and-rodenticide-act-fifra-and-federal-facilities</x:v>
      </x:c>
      <x:c r="D33" s="40" t="str">
        <x:v>Herbicide/pesticide use</x:v>
      </x:c>
      <x:c r="E33" s="40" t="str">
        <x:v>Require product labels, application methods, risk analysis, buffers, weather restrictions, monitoring</x:v>
      </x:c>
      <x:c r="F33" s="40" t="str">
        <x:v>Invasive Plants/Pesticide Specialist</x:v>
      </x:c>
      <x:c r="G33" s="41" t="str">
        <x:v>Triggered</x:v>
      </x:c>
    </x:row>
    <x:row r="34" ht="58" customHeight="1">
      <x:c r="A34" s="39" t="str">
        <x:v>ADD-030</x:v>
      </x:c>
      <x:c r="B34" s="40" t="str">
        <x:v>Invasive species/weed risk and treatment plan</x:v>
      </x:c>
      <x:c r="C34" s="40" t="str">
        <x:v>https://www.federalregister.gov/documents/2016/12/08/2016-29519/safeguarding-the-nation-from-the-impacts-of-invasive-species</x:v>
      </x:c>
      <x:c r="D34" s="40" t="str">
        <x:v>Ground disturbance, movement of equipment/materials, restoration, weed treatments</x:v>
      </x:c>
      <x:c r="E34" s="40" t="str">
        <x:v>Require prevention/cleaning, certified weed-free material, native seed, treatment/monitoring</x:v>
      </x:c>
      <x:c r="F34" s="40" t="str">
        <x:v>Botany/Invasives</x:v>
      </x:c>
      <x:c r="G34" s="41" t="str">
        <x:v>Triggered/common</x:v>
      </x:c>
    </x:row>
    <x:row r="35" ht="58" customHeight="1">
      <x:c r="A35" s="39" t="str">
        <x:v>ADD-031</x:v>
      </x:c>
      <x:c r="B35" s="40" t="str">
        <x:v>Migratory bird and eagle surveys/avoidance or permit package</x:v>
      </x:c>
      <x:c r="C35" s="40" t="str">
        <x:v>https://www.ecfr.gov/current/title-50/chapter-I/subchapter-B/part-22</x:v>
      </x:c>
      <x:c r="D35" s="40" t="str">
        <x:v>Bird/eagle habitat, nest risk, vegetation removal, infrastructure</x:v>
      </x:c>
      <x:c r="E35" s="40" t="str">
        <x:v>Require nest surveys, timing limits, buffers, eagle permit if needed</x:v>
      </x:c>
      <x:c r="F35" s="40" t="str">
        <x:v>Wildlife</x:v>
      </x:c>
      <x:c r="G35" s="41" t="str">
        <x:v>Triggered</x:v>
      </x:c>
    </x:row>
    <x:row r="36" ht="58" customHeight="1">
      <x:c r="A36" s="39" t="str">
        <x:v>ADD-032</x:v>
      </x:c>
      <x:c r="B36" s="40" t="str">
        <x:v>Roadless area consistency memo</x:v>
      </x:c>
      <x:c r="C36" s="40" t="str">
        <x:v>https://www.ecfr.gov/current/title-36/chapter-II/part-294</x:v>
      </x:c>
      <x:c r="D36" s="40" t="str">
        <x:v>Project in IRA or Idaho Roadless Area</x:v>
      </x:c>
      <x:c r="E36" s="40" t="str">
        <x:v>Require roadless map, subpart/category, prohibition/exception analysis, plan overlay</x:v>
      </x:c>
      <x:c r="F36" s="40" t="str">
        <x:v>Planner/Engineering</x:v>
      </x:c>
      <x:c r="G36" s="41" t="str">
        <x:v>Triggered</x:v>
      </x:c>
    </x:row>
    <x:row r="37" ht="58" customHeight="1">
      <x:c r="A37" s="39" t="str">
        <x:v>ADD-033</x:v>
      </x:c>
      <x:c r="B37" s="40" t="str">
        <x:v>Wilderness minimum requirements/minimum tool analysis</x:v>
      </x:c>
      <x:c r="C37" s="40" t="str">
        <x:v>https://www.ecfr.gov/current/title-36/chapter-II/part-293</x:v>
      </x:c>
      <x:c r="D37" s="40" t="str">
        <x:v>Project in designated wilderness</x:v>
      </x:c>
      <x:c r="E37" s="40" t="str">
        <x:v>Require wilderness character, necessity, minimum requirement, method/tool decision, enabling act check</x:v>
      </x:c>
      <x:c r="F37" s="40" t="str">
        <x:v>Wilderness/Recreation</x:v>
      </x:c>
      <x:c r="G37" s="41" t="str">
        <x:v>Triggered</x:v>
      </x:c>
    </x:row>
    <x:row r="38" ht="58" customHeight="1">
      <x:c r="A38" s="39" t="str">
        <x:v>ADD-034</x:v>
      </x:c>
      <x:c r="B38" s="40" t="str">
        <x:v>Wild and Scenic River Section 7 evaluation</x:v>
      </x:c>
      <x:c r="C38" s="40" t="str">
        <x:v>https://www.ecfr.gov/current/title-36/chapter-II/part-297</x:v>
      </x:c>
      <x:c r="D38" s="40" t="str">
        <x:v>Water-resources project affecting WSR</x:v>
      </x:c>
      <x:c r="E38" s="40" t="str">
        <x:v>Require free-flowing, water quality, ORV effects, classification, and Section 7 determination</x:v>
      </x:c>
      <x:c r="F38" s="40" t="str">
        <x:v>Hydrology/Recreation/Planner</x:v>
      </x:c>
      <x:c r="G38" s="41" t="str">
        <x:v>Triggered</x:v>
      </x:c>
    </x:row>
    <x:row r="39" ht="58" customHeight="1">
      <x:c r="A39" s="39" t="str">
        <x:v>ADD-035</x:v>
      </x:c>
      <x:c r="B39" s="40" t="str">
        <x:v>National Trails consistency assessment</x:v>
      </x:c>
      <x:c r="C39" s="40" t="str">
        <x:v>https://uscode.house.gov/view.xhtml?path=/prelim@title16/chapter27&amp;edition=prelim</x:v>
      </x:c>
      <x:c r="D39" s="40" t="str">
        <x:v>Project intersects National Scenic/Historic Trail corridor</x:v>
      </x:c>
      <x:c r="E39" s="40" t="str">
        <x:v>Require corridor/resource values, trail plan consistency, scenic/historic effects, coordinating agency input</x:v>
      </x:c>
      <x:c r="F39" s="40" t="str">
        <x:v>Recreation/Heritage/Planner</x:v>
      </x:c>
      <x:c r="G39" s="41" t="str">
        <x:v>Triggered</x:v>
      </x:c>
    </x:row>
    <x:row r="40" ht="58" customHeight="1">
      <x:c r="A40" s="39" t="str">
        <x:v>ADD-036</x:v>
      </x:c>
      <x:c r="B40" s="40" t="str">
        <x:v>Paleontological resource survey/permit/monitoring plan</x:v>
      </x:c>
      <x:c r="C40" s="40" t="str">
        <x:v>https://www.ecfr.gov/current/title-36/chapter-II/part-291</x:v>
      </x:c>
      <x:c r="D40" s="40" t="str">
        <x:v>Fossil-bearing geologic units or known paleontological resources</x:v>
      </x:c>
      <x:c r="E40" s="40" t="str">
        <x:v>Require survey sensitivity, confidentiality, permit, curation, monitoring</x:v>
      </x:c>
      <x:c r="F40" s="40" t="str">
        <x:v>Paleontology/Geology</x:v>
      </x:c>
      <x:c r="G40" s="41" t="str">
        <x:v>Triggered</x:v>
      </x:c>
    </x:row>
    <x:row r="41" ht="58" customHeight="1">
      <x:c r="A41" s="39" t="str">
        <x:v>ADD-037</x:v>
      </x:c>
      <x:c r="B41" s="40" t="str">
        <x:v>Cave/karst resource screen</x:v>
      </x:c>
      <x:c r="C41" s="40" t="str">
        <x:v>https://www.ecfr.gov/current/title-36/chapter-II/part-290</x:v>
      </x:c>
      <x:c r="D41" s="40" t="str">
        <x:v>Project in karst/cave area or affects cave resources</x:v>
      </x:c>
      <x:c r="E41" s="40" t="str">
        <x:v>Require cave resource inventory, confidentiality, protection measures</x:v>
      </x:c>
      <x:c r="F41" s="40" t="str">
        <x:v>Geology/Recreation</x:v>
      </x:c>
      <x:c r="G41" s="41" t="str">
        <x:v>Triggered</x:v>
      </x:c>
    </x:row>
    <x:row r="42" ht="58" customHeight="1">
      <x:c r="A42" s="39" t="str">
        <x:v>ADD-038</x:v>
      </x:c>
      <x:c r="B42" s="40" t="str">
        <x:v>Dakota Prairie Grasslands Bankhead-Jones/Grassland plan consistency memo</x:v>
      </x:c>
      <x:c r="C42" s="40" t="str">
        <x:v>https://www.ecfr.gov/current/title-36/chapter-II/part-213</x:v>
      </x:c>
      <x:c r="D42" s="40" t="str">
        <x:v>EA on Dakota Prairie Grasslands</x:v>
      </x:c>
      <x:c r="E42" s="40" t="str">
        <x:v>Require 2001 LRMP consistency plus Bankhead-Jones/36 CFR part 213 purpose/management check</x:v>
      </x:c>
      <x:c r="F42" s="40" t="str">
        <x:v>Planner/Range</x:v>
      </x:c>
      <x:c r="G42" s="41" t="str">
        <x:v>DPG only</x:v>
      </x:c>
    </x:row>
    <x:row r="43" ht="58" customHeight="1">
      <x:c r="A43" s="39" t="str">
        <x:v>ADD-039</x:v>
      </x:c>
      <x:c r="B43" s="40" t="str">
        <x:v>Project-level administrative review packet</x:v>
      </x:c>
      <x:c r="C43" s="40" t="str">
        <x:v>https://www.ecfr.gov/current/title-36/chapter-II/part-218</x:v>
      </x:c>
      <x:c r="D43" s="40" t="str">
        <x:v>EA with DN/FONSI subject to objection</x:v>
      </x:c>
      <x:c r="E43" s="40" t="str">
        <x:v>Require legal notices, comment eligibility, objection period, objections/responses, instructions incorporated</x:v>
      </x:c>
      <x:c r="F43" s="40" t="str">
        <x:v>NEPA Planner/Line Officer</x:v>
      </x:c>
      <x:c r="G43" s="41" t="str">
        <x:v>Usually</x:v>
      </x:c>
    </x:row>
    <x:row r="44" ht="58" customHeight="1">
      <x:c r="A44" s="42" t="str">
        <x:v>ADD-040</x:v>
      </x:c>
      <x:c r="B44" s="43" t="str">
        <x:v>Public comment summary and substantive issue response</x:v>
      </x:c>
      <x:c r="C44" s="43" t="str">
        <x:v>https://www.ecfr.gov/current/title-36/chapter-II/part-218</x:v>
      </x:c>
      <x:c r="D44" s="43" t="str">
        <x:v>Scoping/comment period or objection-eligible EA</x:v>
      </x:c>
      <x:c r="E44" s="43" t="str">
        <x:v>Require comments, categorization, substantive responses or explanation in record</x:v>
      </x:c>
      <x:c r="F44" s="43" t="str">
        <x:v>NEPA Planner</x:v>
      </x:c>
      <x:c r="G44" s="44" t="str">
        <x:v>Usually</x:v>
      </x:c>
    </x:row>
    <x:row r="45">
      <x:c r="A45" s="30"/>
      <x:c r="B45" s="30"/>
      <x:c r="C45" s="30"/>
      <x:c r="D45" s="30"/>
      <x:c r="E45" s="30"/>
      <x:c r="F45" s="30"/>
      <x:c r="G45" s="3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65" hidden="0" customWidth="1"/>
    <x:col min="4" max="4" width="66" hidden="0" customWidth="1"/>
    <x:col min="5" max="5" width="34" hidden="0" customWidth="1"/>
  </x:cols>
  <x:sheetData>
    <x:row r="1" ht="26" customHeight="1">
      <x:c r="A1" s="28" t="str">
        <x:v>Excluded / Do-Not-Ingest Sources for Region 1 EAs</x:v>
      </x:c>
      <x:c r="B1" s="28" t="str"/>
      <x:c r="C1" s="28" t="str"/>
      <x:c r="D1" s="28" t="str"/>
      <x:c r="E1" s="28" t="str"/>
    </x:row>
    <x:row r="2" ht="32" customHeight="1">
      <x:c r="A2" s="29" t="str">
        <x:v>These are intentionally excluded from the active R1 EA knowledge base; keep for audit and monitoring only.</x:v>
      </x:c>
      <x:c r="B2" s="29" t="str"/>
      <x:c r="C2" s="29" t="str"/>
      <x:c r="D2" s="29" t="str"/>
      <x:c r="E2" s="29" t="str"/>
    </x:row>
    <x:row r="3">
      <x:c r="A3" s="30"/>
      <x:c r="B3" s="30"/>
      <x:c r="C3" s="30"/>
      <x:c r="D3" s="30"/>
      <x:c r="E3" s="30"/>
    </x:row>
    <x:row r="4" ht="36" customHeight="1">
      <x:c r="A4" s="36" t="str">
        <x:v>Exclude_ID</x:v>
      </x:c>
      <x:c r="B4" s="37" t="str">
        <x:v>Do_Not_Ingest_Document</x:v>
      </x:c>
      <x:c r="C4" s="37" t="str">
        <x:v>Link</x:v>
      </x:c>
      <x:c r="D4" s="37" t="str">
        <x:v>Reason Excluded for Region 1 EA Workbook</x:v>
      </x:c>
      <x:c r="E4" s="38" t="str">
        <x:v>Monitor / Exception</x:v>
      </x:c>
    </x:row>
    <x:row r="5" ht="58" customHeight="1">
      <x:c r="A5" s="39" t="str">
        <x:v>EXCL-001</x:v>
      </x:c>
      <x:c r="B5" s="40" t="str">
        <x:v>CEQ NEPA regulations, 40 CFR parts 1500-1508</x:v>
      </x:c>
      <x:c r="C5" s="40" t="str">
        <x:v>https://www.federalregister.gov/documents/2026/01/08/2026-00178/removal-of-national-environmental-policy-act-implementing-regulations</x:v>
      </x:c>
      <x:c r="D5" s="40" t="str">
        <x:v>Removed/rescinded and not current controlling NEPA regulation in Apr. 2026</x:v>
      </x:c>
      <x:c r="E5" s="41" t="str">
        <x:v>Monitor only for historical records</x:v>
      </x:c>
    </x:row>
    <x:row r="6" ht="58" customHeight="1">
      <x:c r="A6" s="39" t="str">
        <x:v>EXCL-002</x:v>
      </x:c>
      <x:c r="B6" s="40" t="str">
        <x:v>36 CFR part 220 - former Forest Service NEPA procedures</x:v>
      </x:c>
      <x:c r="C6" s="40" t="str">
        <x:v>https://www.ecfr.gov/current/title-36/chapter-II/part-220</x:v>
      </x:c>
      <x:c r="D6" s="40" t="str">
        <x:v>Not current controlling Forest Service NEPA procedure; current USDA procedure is 7 CFR part 1b</x:v>
      </x:c>
      <x:c r="E6" s="41" t="str">
        <x:v>Monitor for future rulemaking only</x:v>
      </x:c>
    </x:row>
    <x:row r="7" ht="58" customHeight="1">
      <x:c r="A7" s="39" t="str">
        <x:v>EXCL-003</x:v>
      </x:c>
      <x:c r="B7" s="40" t="str">
        <x:v>7 CFR § 1b.7 Environmental impact statements</x:v>
      </x:c>
      <x:c r="C7" s="40" t="str">
        <x:v>https://www.ecfr.gov/current/title-7/subtitle-A/part-1b/section-1b.7</x:v>
      </x:c>
      <x:c r="D7" s="40" t="str">
        <x:v>EIS-only section; not an EA review checklist item</x:v>
      </x:c>
      <x:c r="E7" s="41" t="str">
        <x:v>Use only if EA escalates to EIS</x:v>
      </x:c>
    </x:row>
    <x:row r="8" ht="58" customHeight="1">
      <x:c r="A8" s="39" t="str">
        <x:v>EXCL-004</x:v>
      </x:c>
      <x:c r="B8" s="40" t="str">
        <x:v>7 CFR § 1b.8 Records of decision</x:v>
      </x:c>
      <x:c r="C8" s="40" t="str">
        <x:v>https://www.ecfr.gov/current/title-7/subtitle-A/part-1b/section-1b.8</x:v>
      </x:c>
      <x:c r="D8" s="40" t="str">
        <x:v>ROD is EIS decision document, not EA/DN/FONSI</x:v>
      </x:c>
      <x:c r="E8" s="41" t="str">
        <x:v>Use only if EA escalates to EIS</x:v>
      </x:c>
    </x:row>
    <x:row r="9" ht="58" customHeight="1">
      <x:c r="A9" s="39" t="str">
        <x:v>EXCL-005</x:v>
      </x:c>
      <x:c r="B9" s="40" t="str">
        <x:v>Clean Air Act § 309 EPA EIS review process</x:v>
      </x:c>
      <x:c r="C9" s="40" t="str">
        <x:v>https://www.epa.gov/nepa/epa-review-process-under-section-309-clean-air-act</x:v>
      </x:c>
      <x:c r="D9" s="40" t="str">
        <x:v>Applies to EIS review, not ordinary Forest Service EA/FONSI</x:v>
      </x:c>
      <x:c r="E9" s="41" t="str">
        <x:v>Use only for EIS escalation</x:v>
      </x:c>
    </x:row>
    <x:row r="10" ht="58" customHeight="1">
      <x:c r="A10" s="39" t="str">
        <x:v>EXCL-006</x:v>
      </x:c>
      <x:c r="B10" s="40" t="str">
        <x:v>Coastal Zone Management Act / 15 CFR part 930</x:v>
      </x:c>
      <x:c r="C10" s="40" t="str">
        <x:v>https://www.ecfr.gov/current/title-15/subtitle-B/chapter-IX/subchapter-B/part-930</x:v>
      </x:c>
      <x:c r="D10" s="40" t="str">
        <x:v>Region 1 project geography is inland; no coastal zone baseline applicability for Region 1 EAs</x:v>
      </x:c>
      <x:c r="E10" s="41" t="str">
        <x:v>Reconsider only if project has an unusual federal activity affecting coastal resources outside R1 scope</x:v>
      </x:c>
    </x:row>
    <x:row r="11" ht="58" customHeight="1">
      <x:c r="A11" s="39" t="str">
        <x:v>EXCL-007</x:v>
      </x:c>
      <x:c r="B11" s="40" t="str">
        <x:v>Coastal Barrier Resources Act</x:v>
      </x:c>
      <x:c r="C11" s="40" t="str">
        <x:v>https://uscode.house.gov/view.xhtml?path=/prelim@title16/chapter55&amp;edition=prelim</x:v>
      </x:c>
      <x:c r="D11" s="40" t="str">
        <x:v>No coastal barrier system applicability in Region 1 EA scope</x:v>
      </x:c>
      <x:c r="E11" s="41" t="str">
        <x:v>Do not ingest</x:v>
      </x:c>
    </x:row>
    <x:row r="12" ht="58" customHeight="1">
      <x:c r="A12" s="39" t="str">
        <x:v>EXCL-008</x:v>
      </x:c>
      <x:c r="B12" s="40" t="str">
        <x:v>Marine Mammal Protection Act</x:v>
      </x:c>
      <x:c r="C12" s="40" t="str">
        <x:v>https://uscode.house.gov/view.xhtml?path=/prelim@title16/chapter31&amp;edition=prelim</x:v>
      </x:c>
      <x:c r="D12" s="40" t="str">
        <x:v>No marine mammal/coastal marine project context in Region 1 Forest Service EA baseline</x:v>
      </x:c>
      <x:c r="E12" s="41" t="str">
        <x:v>Do not ingest unless scope changes outside R1</x:v>
      </x:c>
    </x:row>
    <x:row r="13" ht="58" customHeight="1">
      <x:c r="A13" s="39" t="str">
        <x:v>EXCL-009</x:v>
      </x:c>
      <x:c r="B13" s="40" t="str">
        <x:v>36 CFR part 242 - Alaska subsistence</x:v>
      </x:c>
      <x:c r="C13" s="40" t="str">
        <x:v>https://www.ecfr.gov/current/title-36/chapter-II/part-242</x:v>
      </x:c>
      <x:c r="D13" s="40" t="str">
        <x:v>Alaska-specific subsistence regulation; Region 1 does not include Alaska</x:v>
      </x:c>
      <x:c r="E13" s="41" t="str">
        <x:v>Do not ingest</x:v>
      </x:c>
    </x:row>
    <x:row r="14" ht="58" customHeight="1">
      <x:c r="A14" s="39" t="str">
        <x:v>EXCL-010</x:v>
      </x:c>
      <x:c r="B14" s="40" t="str">
        <x:v>36 CFR part 241 subpart B - Chugach National Forest fish and wildlife</x:v>
      </x:c>
      <x:c r="C14" s="40" t="str">
        <x:v>https://www.ecfr.gov/current/title-36/chapter-II/part-241</x:v>
      </x:c>
      <x:c r="D14" s="40" t="str">
        <x:v>Alaska/Chugach-specific; not Region 1</x:v>
      </x:c>
      <x:c r="E14" s="41" t="str">
        <x:v>Subpart A general cooperation may be considered where relevant, but not a distinct R1 EA source</x:v>
      </x:c>
    </x:row>
    <x:row r="15" ht="58" customHeight="1">
      <x:c r="A15" s="39" t="str">
        <x:v>EXCL-011</x:v>
      </x:c>
      <x:c r="B15" s="40" t="str">
        <x:v>36 CFR part 294 subpart D - Colorado Roadless Areas</x:v>
      </x:c>
      <x:c r="C15" s="40" t="str">
        <x:v>https://www.ecfr.gov/current/title-36/chapter-II/part-294/subpart-D</x:v>
      </x:c>
      <x:c r="D15" s="40" t="str">
        <x:v>Colorado-specific and outside Region 1</x:v>
      </x:c>
      <x:c r="E15" s="41" t="str">
        <x:v>Do not ingest</x:v>
      </x:c>
    </x:row>
    <x:row r="16" ht="58" customHeight="1">
      <x:c r="A16" s="39" t="str">
        <x:v>EXCL-012</x:v>
      </x:c>
      <x:c r="B16" s="40" t="str">
        <x:v>Executive Order 12898 environmental justice as NEPA mandate</x:v>
      </x:c>
      <x:c r="C16" s="40" t="str">
        <x:v>https://www.federalregister.gov/documents/1994/02/16/94-3685/federal-actions-to-address-environmental-justice-in-minority-populations-and-low-income-populations</x:v>
      </x:c>
      <x:c r="D16" s="40" t="str">
        <x:v>Revoked and not current NEPA mandate under current USDA rule context</x:v>
      </x:c>
      <x:c r="E16" s="41" t="str">
        <x:v>Do not ingest as current NEPA standard</x:v>
      </x:c>
    </x:row>
    <x:row r="17" ht="58" customHeight="1">
      <x:c r="A17" s="39" t="str">
        <x:v>EXCL-013</x:v>
      </x:c>
      <x:c r="B17" s="40" t="str">
        <x:v>Executive Order 14096 environmental justice</x:v>
      </x:c>
      <x:c r="C17" s="40" t="str">
        <x:v>https://www.federalregister.gov/documents/2023/04/26/2023-08955/revitalizing-our-nations-commitment-to-environmental-justice-for-all</x:v>
      </x:c>
      <x:c r="D17" s="40" t="str">
        <x:v>Revoked and not current NEPA mandate under current USDA rule context</x:v>
      </x:c>
      <x:c r="E17" s="41" t="str">
        <x:v>Do not ingest as current NEPA standard</x:v>
      </x:c>
    </x:row>
    <x:row r="18" ht="58" customHeight="1">
      <x:c r="A18" s="39" t="str">
        <x:v>EXCL-014</x:v>
      </x:c>
      <x:c r="B18" s="40" t="str">
        <x:v>Proposed Forest Service 36 CFR part 218 revisions</x:v>
      </x:c>
      <x:c r="C18" s="40" t="str">
        <x:v>https://www.federalregister.gov/documents/2026/02/06/2026-02392/project-level-predecisional-administrative-review-process</x:v>
      </x:c>
      <x:c r="D18" s="40" t="str">
        <x:v>Proposed/non-final as of Apr. 2026</x:v>
      </x:c>
      <x:c r="E18" s="41" t="str">
        <x:v>Monitor only</x:v>
      </x:c>
    </x:row>
    <x:row r="19" ht="58" customHeight="1">
      <x:c r="A19" s="39" t="str">
        <x:v>EXCL-015</x:v>
      </x:c>
      <x:c r="B19" s="40" t="str">
        <x:v>Proposed Forest Service 36 CFR part 228 locatable minerals revisions</x:v>
      </x:c>
      <x:c r="C19" s="40" t="str">
        <x:v>https://www.federalregister.gov/documents/2026/02/20/2026-03364/locatable-minerals</x:v>
      </x:c>
      <x:c r="D19" s="40" t="str">
        <x:v>Proposed/non-final as of Apr. 2026</x:v>
      </x:c>
      <x:c r="E19" s="41" t="str">
        <x:v>Monitor only</x:v>
      </x:c>
    </x:row>
    <x:row r="20" ht="58" customHeight="1">
      <x:c r="A20" s="39" t="str">
        <x:v>EXCL-016</x:v>
      </x:c>
      <x:c r="B20" s="40" t="str">
        <x:v>Proposed Roadless Rule rescission</x:v>
      </x:c>
      <x:c r="C20" s="40" t="str">
        <x:v>https://www.federalregister.gov/documents/2025/08/29/2025-16581/special-areas-roadless-area-conservation-national-forest-system-lands</x:v>
      </x:c>
      <x:c r="D20" s="40" t="str">
        <x:v>Proposed/NOI and not final; current 36 CFR part 294 remains operative</x:v>
      </x:c>
      <x:c r="E20" s="41" t="str">
        <x:v>Monitor only</x:v>
      </x:c>
    </x:row>
    <x:row r="21" ht="58" customHeight="1">
      <x:c r="A21" s="42" t="str">
        <x:v>EXCL-017</x:v>
      </x:c>
      <x:c r="B21" s="43" t="str">
        <x:v>FSH 1909.15 as controlling NEPA handbook</x:v>
      </x:c>
      <x:c r="C21" s="43" t="str">
        <x:v>https://www.fs.usda.gov/about-agency/regulations-policies/handbook/190915-transmittal</x:v>
      </x:c>
      <x:c r="D21" s="43" t="str">
        <x:v>Do not use as controlling Apr. 2026 NEPA procedure unless current chapters are verified and consistent with 7 CFR part 1b</x:v>
      </x:c>
      <x:c r="E21" s="44" t="str">
        <x:v>Monitor for future issuances</x:v>
      </x:c>
    </x:row>
    <x:row r="22">
      <x:c r="A22" s="30"/>
      <x:c r="B22" s="30"/>
      <x:c r="C22" s="30"/>
      <x:c r="D22" s="30"/>
      <x:c r="E22" s="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65" hidden="0" customWidth="1"/>
    <x:col min="4" max="4" width="70" hidden="0" customWidth="1"/>
    <x:col min="5" max="5" width="52" hidden="0" customWidth="1"/>
  </x:cols>
  <x:sheetData>
    <x:row r="1" ht="26" customHeight="1">
      <x:c r="A1" s="28" t="str">
        <x:v>Audit Trail</x:v>
      </x:c>
      <x:c r="B1" s="28" t="str"/>
      <x:c r="C1" s="28" t="str"/>
      <x:c r="D1" s="28" t="str"/>
      <x:c r="E1" s="28" t="str"/>
    </x:row>
    <x:row r="2" ht="32" customHeight="1">
      <x:c r="A2" s="29" t="str">
        <x:v>Key source-status checks and decisions used to tailor the workbook to Region 1 Environmental Assessments.</x:v>
      </x:c>
      <x:c r="B2" s="29" t="str"/>
      <x:c r="C2" s="29" t="str"/>
      <x:c r="D2" s="29" t="str"/>
      <x:c r="E2" s="29" t="str"/>
    </x:row>
    <x:row r="3">
      <x:c r="A3" s="30"/>
      <x:c r="B3" s="30"/>
      <x:c r="C3" s="30"/>
      <x:c r="D3" s="30"/>
      <x:c r="E3" s="30"/>
    </x:row>
    <x:row r="4" ht="36" customHeight="1">
      <x:c r="A4" s="36" t="str">
        <x:v>Audit_ID</x:v>
      </x:c>
      <x:c r="B4" s="37" t="str">
        <x:v>Question Checked</x:v>
      </x:c>
      <x:c r="C4" s="37" t="str">
        <x:v>Source_Link</x:v>
      </x:c>
      <x:c r="D4" s="37" t="str">
        <x:v>Finding</x:v>
      </x:c>
      <x:c r="E4" s="38" t="str">
        <x:v>Workbook Action</x:v>
      </x:c>
    </x:row>
    <x:row r="5" ht="58" customHeight="1">
      <x:c r="A5" s="39" t="str">
        <x:v>AUD-001</x:v>
      </x:c>
      <x:c r="B5" s="40" t="str">
        <x:v>What is the current USDA/Forest Service NEPA procedure in Apr. 2026?</x:v>
      </x:c>
      <x:c r="C5" s="40" t="str">
        <x:v>https://www.ecfr.gov/current/title-7/subtitle-A/part-1b</x:v>
      </x:c>
      <x:c r="D5" s="40" t="str">
        <x:v>7 CFR part 1b is current eCFR text and lists §§ 1b.1-1b.12 with Apr. 3, 2026 source.</x:v>
      </x:c>
      <x:c r="E5" s="41" t="str">
        <x:v>Included 7 CFR part 1b and EA/FONSI sections as baseline</x:v>
      </x:c>
    </x:row>
    <x:row r="6" ht="58" customHeight="1">
      <x:c r="A6" s="39" t="str">
        <x:v>AUD-002</x:v>
      </x:c>
      <x:c r="B6" s="40" t="str">
        <x:v>Did USDA finalize a consolidated NEPA rule in 2026?</x:v>
      </x:c>
      <x:c r="C6" s="40" t="str">
        <x:v>https://www.federalregister.gov/documents/2026/04/03/2026-06537/national-environmental-policy-act</x:v>
      </x:c>
      <x:c r="D6" s="40" t="str">
        <x:v>USDA final rule effective Apr. 3, 2026 consolidated NEPA procedures at 7 CFR part 1b.</x:v>
      </x:c>
      <x:c r="E6" s="41" t="str">
        <x:v>Included rulemaking source and excluded older agency-specific NEPA procedure</x:v>
      </x:c>
    </x:row>
    <x:row r="7" ht="58" customHeight="1">
      <x:c r="A7" s="39" t="str">
        <x:v>AUD-003</x:v>
      </x:c>
      <x:c r="B7" s="40" t="str">
        <x:v>Does 7 CFR part 1b apply to the Forest Service?</x:v>
      </x:c>
      <x:c r="C7" s="40" t="str">
        <x:v>https://www.ecfr.gov/current/title-7/subtitle-A/part-1b/section-1b.1</x:v>
      </x:c>
      <x:c r="D7" s="40" t="str">
        <x:v>7 CFR § 1b.1 states part applies to USDA mission areas, agencies and general offices.</x:v>
      </x:c>
      <x:c r="E7" s="41" t="str">
        <x:v>Applied to USDA Forest Service Region 1 EAs</x:v>
      </x:c>
    </x:row>
    <x:row r="8" ht="58" customHeight="1">
      <x:c r="A8" s="39" t="str">
        <x:v>AUD-004</x:v>
      </x:c>
      <x:c r="B8" s="40" t="str">
        <x:v>What sections are EA-specific?</x:v>
      </x:c>
      <x:c r="C8" s="40" t="str">
        <x:v>https://www.ecfr.gov/current/title-7/subtitle-A/part-1b</x:v>
      </x:c>
      <x:c r="D8" s="40" t="str">
        <x:v>§ 1b.5 governs EAs and § 1b.6 governs FONSIs; EIS/ROD sections are § 1b.7 and § 1b.8.</x:v>
      </x:c>
      <x:c r="E8" s="41" t="str">
        <x:v>Included EA/FONSI; moved EIS/ROD to exclusions/escalation only</x:v>
      </x:c>
    </x:row>
    <x:row r="9" ht="58" customHeight="1">
      <x:c r="A9" s="39" t="str">
        <x:v>AUD-005</x:v>
      </x:c>
      <x:c r="B9" s="40" t="str">
        <x:v>Are CEQ 40 CFR 1500-1508 regulations current?</x:v>
      </x:c>
      <x:c r="C9" s="40" t="str">
        <x:v>https://www.federalregister.gov/documents/2026/01/08/2026-00178/removal-of-national-environmental-policy-act-implementing-regulations</x:v>
      </x:c>
      <x:c r="D9" s="40" t="str">
        <x:v>CEQ removed its NEPA implementing regulations.</x:v>
      </x:c>
      <x:c r="E9" s="41" t="str">
        <x:v>Excluded as current controlling standards</x:v>
      </x:c>
    </x:row>
    <x:row r="10" ht="58" customHeight="1">
      <x:c r="A10" s="39" t="str">
        <x:v>AUD-006</x:v>
      </x:c>
      <x:c r="B10" s="40" t="str">
        <x:v>Is 36 CFR part 220 current controlling FS NEPA procedure?</x:v>
      </x:c>
      <x:c r="C10" s="40" t="str">
        <x:v>https://www.ecfr.gov/current/title-36/chapter-II/part-220</x:v>
      </x:c>
      <x:c r="D10" s="40" t="str">
        <x:v>Part 220 is not the current operative FS NEPA rule for Apr. 2026 USDA framework.</x:v>
      </x:c>
      <x:c r="E10" s="41" t="str">
        <x:v>Excluded from ingest checklist</x:v>
      </x:c>
    </x:row>
    <x:row r="11" ht="58" customHeight="1">
      <x:c r="A11" s="39" t="str">
        <x:v>AUD-007</x:v>
      </x:c>
      <x:c r="B11" s="40" t="str">
        <x:v>Which Region 1 units/plans must the engine resolve?</x:v>
      </x:c>
      <x:c r="C11" s="40" t="str">
        <x:v>https://www.fs.usda.gov/r01/planning</x:v>
      </x:c>
      <x:c r="D11" s="40" t="str">
        <x:v>Region 1 planning page lists unit planning sources, current plans/revisions, and SCC references.</x:v>
      </x:c>
      <x:c r="E11" s="41" t="str">
        <x:v>Added R1_Forest_Plans sheet</x:v>
      </x:c>
    </x:row>
    <x:row r="12" ht="58" customHeight="1">
      <x:c r="A12" s="39" t="str">
        <x:v>AUD-008</x:v>
      </x:c>
      <x:c r="B12" s="40" t="str">
        <x:v>What is the Region 1 geographic scope?</x:v>
      </x:c>
      <x:c r="C12" s="40" t="str">
        <x:v>https://www.fs.usda.gov/r01</x:v>
      </x:c>
      <x:c r="D12" s="40" t="str">
        <x:v>Northern Region manages 25 million acres across five states, with forests in northern Idaho, Montana, northwestern South Dakota and NE Washington, and DPG in ND/SD.</x:v>
      </x:c>
      <x:c r="E12" s="41" t="str">
        <x:v>Excluded coastal/Alaska/Colorado materials and added state add-ons for MT/ID/ND/SD/WA</x:v>
      </x:c>
    </x:row>
    <x:row r="13" ht="58" customHeight="1">
      <x:c r="A13" s="39" t="str">
        <x:v>AUD-009</x:v>
      </x:c>
      <x:c r="B13" s="40" t="str">
        <x:v>Are Region 1 SCC sources current and applicable?</x:v>
      </x:c>
      <x:c r="C13" s="40" t="str">
        <x:v>https://www.fs.usda.gov/r01/planning/species-conservation-concern</x:v>
      </x:c>
      <x:c r="D13" s="40" t="str">
        <x:v>R1 page identifies SCC lists for 2012-rule plans and source files.</x:v>
      </x:c>
      <x:c r="E13" s="41" t="str">
        <x:v>Included SCC page as baseline plan-consistency source</x:v>
      </x:c>
    </x:row>
    <x:row r="14" ht="58" customHeight="1">
      <x:c r="A14" s="39" t="str">
        <x:v>AUD-010</x:v>
      </x:c>
      <x:c r="B14" s="40" t="str">
        <x:v>Are 36 CFR part 219 plan consistency requirements current?</x:v>
      </x:c>
      <x:c r="C14" s="40" t="str">
        <x:v>https://www.ecfr.gov/current/title-36/chapter-II/part-219/section-219.15</x:v>
      </x:c>
      <x:c r="D14" s="40" t="str">
        <x:v>§ 219.15 governs project/activity consistency with land management plans.</x:v>
      </x:c>
      <x:c r="E14" s="41" t="str">
        <x:v>Included as baseline EA validation</x:v>
      </x:c>
    </x:row>
    <x:row r="15" ht="58" customHeight="1">
      <x:c r="A15" s="39" t="str">
        <x:v>AUD-011</x:v>
      </x:c>
      <x:c r="B15" s="40" t="str">
        <x:v>Are 36 CFR part 218 project objections current?</x:v>
      </x:c>
      <x:c r="C15" s="40" t="str">
        <x:v>https://www.ecfr.gov/current/title-36/chapter-II/part-218</x:v>
      </x:c>
      <x:c r="D15" s="40" t="str">
        <x:v>Part 218 remains current for project-level predecisional administrative review.</x:v>
      </x:c>
      <x:c r="E15" s="41" t="str">
        <x:v>Included as baseline; proposed update excluded/monitor</x:v>
      </x:c>
    </x:row>
    <x:row r="16" ht="58" customHeight="1">
      <x:c r="A16" s="39" t="str">
        <x:v>AUD-012</x:v>
      </x:c>
      <x:c r="B16" s="40" t="str">
        <x:v>Does Region 1 have grassland-specific authority?</x:v>
      </x:c>
      <x:c r="C16" s="40" t="str">
        <x:v>https://www.ecfr.gov/current/title-36/chapter-II/part-213</x:v>
      </x:c>
      <x:c r="D16" s="40" t="str">
        <x:v>36 CFR part 213 covers National Grasslands under Bankhead-Jones Act; DPG includes ND/SD grasslands.</x:v>
      </x:c>
      <x:c r="E16" s="41" t="str">
        <x:v>Added DPG-specific plan/action layer</x:v>
      </x:c>
    </x:row>
    <x:row r="17" ht="58" customHeight="1">
      <x:c r="A17" s="39" t="str">
        <x:v>AUD-013</x:v>
      </x:c>
      <x:c r="B17" s="40" t="str">
        <x:v>Are state 401/SHPO links universal federal NEPA standards?</x:v>
      </x:c>
      <x:c r="C17" s="40" t="str">
        <x:v>https://uscode.house.gov/view.xhtml?req=(title:33%20section:1341%20edition:prelim)</x:v>
      </x:c>
      <x:c r="D17" s="40" t="str">
        <x:v>State/SHPO pages are project-specific add-ons triggered by CWA/NHPA, not federal baseline NEPA documents.</x:v>
      </x:c>
      <x:c r="E17" s="41" t="str">
        <x:v>Included as conditional project add-ons, not all-project requirements</x:v>
      </x:c>
    </x:row>
    <x:row r="18" ht="58" customHeight="1">
      <x:c r="A18" s="39" t="str">
        <x:v>AUD-014</x:v>
      </x:c>
      <x:c r="B18" s="40" t="str">
        <x:v>Do coastal and marine authorities apply to R1 EAs?</x:v>
      </x:c>
      <x:c r="C18" s="40" t="str">
        <x:v>https://www.fs.usda.gov/r01/state-private-tribal</x:v>
      </x:c>
      <x:c r="D18" s="40" t="str">
        <x:v>R1 states/area are inland; coastal/marine authorities do not apply to the R1 EA baseline.</x:v>
      </x:c>
      <x:c r="E18" s="41" t="str">
        <x:v>Excluded CZMA, CBRA, MMPA</x:v>
      </x:c>
    </x:row>
    <x:row r="19" ht="58" customHeight="1">
      <x:c r="A19" s="42" t="str">
        <x:v>AUD-015</x:v>
      </x:c>
      <x:c r="B19" s="43" t="str">
        <x:v>Does current Supreme Court NEPA interpretation matter for EA scope?</x:v>
      </x:c>
      <x:c r="C19" s="43" t="str">
        <x:v>https://www.supremecourt.gov/opinions/24pdf/23-975_m648.pdf</x:v>
      </x:c>
      <x:c r="D19" s="43" t="str">
        <x:v>Seven County is current Supreme Court NEPA interpretation for scope/causation/project-at-hand reasoning.</x:v>
      </x:c>
      <x:c r="E19" s="44" t="str">
        <x:v>Included as baseline review-engine source</x:v>
      </x:c>
    </x:row>
    <x:row r="20">
      <x:c r="A20" s="30"/>
      <x:c r="B20" s="30"/>
      <x:c r="C20" s="30"/>
      <x:c r="D20" s="30"/>
      <x:c r="E20" s="3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6" customHeight="1">
      <x:c r="A1" s="28" t="str">
        <x:v>Legend and Ingestion Notes</x:v>
      </x:c>
      <x:c r="B1" s="28" t="str"/>
    </x:row>
    <x:row r="2" ht="32" customHeight="1">
      <x:c r="A2" s="29" t="str">
        <x:v>Field definitions and implementation notes.</x:v>
      </x:c>
      <x:c r="B2" s="29" t="str"/>
    </x:row>
    <x:row r="3">
      <x:c r="A3" s="30"/>
      <x:c r="B3" s="30"/>
    </x:row>
    <x:row r="4" ht="36" customHeight="1">
      <x:c r="A4" s="36" t="str">
        <x:v>Field</x:v>
      </x:c>
      <x:c r="B4" s="38" t="str">
        <x:v>Meaning</x:v>
      </x:c>
    </x:row>
    <x:row r="5" ht="44" customHeight="1">
      <x:c r="A5" s="39" t="str">
        <x:v>Ingest_Status</x:v>
      </x:c>
      <x:c r="B5" s="41" t="str">
        <x:v>Ingest = source should be loaded or represented in knowledge base. Excluded sources are on Scope_Exclusions and should not be used as current R1 EA standards.</x:v>
      </x:c>
    </x:row>
    <x:row r="6" ht="44" customHeight="1">
      <x:c r="A6" s="39" t="str">
        <x:v>Scope</x:v>
      </x:c>
      <x:c r="B6" s="41" t="str">
        <x:v>Baseline = applies to every Region 1 EA or every EA package validation. Conditional = load into KB but only enforce when project facts trigger it.</x:v>
      </x:c>
    </x:row>
    <x:row r="7" ht="44" customHeight="1">
      <x:c r="A7" s="39" t="str">
        <x:v>Layer</x:v>
      </x:c>
      <x:c r="B7" s="41" t="str">
        <x:v>Taxonomy layer used by review engine for routing rules.</x:v>
      </x:c>
    </x:row>
    <x:row r="8" ht="44" customHeight="1">
      <x:c r="A8" s="39" t="str">
        <x:v>Applies_To</x:v>
      </x:c>
      <x:c r="B8" s="41" t="str">
        <x:v>Project class or geography where source is relevant.</x:v>
      </x:c>
    </x:row>
    <x:row r="9" ht="44" customHeight="1">
      <x:c r="A9" s="39" t="str">
        <x:v>Trigger / When to Apply</x:v>
      </x:c>
      <x:c r="B9" s="41" t="str">
        <x:v>Condition that causes the engine to enforce the document/source.</x:v>
      </x:c>
    </x:row>
    <x:row r="10" ht="44" customHeight="1">
      <x:c r="A10" s="39" t="str">
        <x:v>Review_Engine_Checks</x:v>
      </x:c>
      <x:c r="B10" s="41" t="str">
        <x:v>Suggested validations, issue flags, or document requirements for a NEPA EA review engine.</x:v>
      </x:c>
    </x:row>
    <x:row r="11" ht="44" customHeight="1">
      <x:c r="A11" s="39" t="str">
        <x:v>R1_Forest_Plans</x:v>
      </x:c>
      <x:c r="B11" s="41" t="str">
        <x:v>Unit-specific current land management plan source list. The engine should resolve the project to a unit first, then load relevant plan documents/amendments.</x:v>
      </x:c>
    </x:row>
    <x:row r="12" ht="44" customHeight="1">
      <x:c r="A12" s="39" t="str">
        <x:v>EA_Record_Checklist</x:v>
      </x:c>
      <x:c r="B12" s="41" t="str">
        <x:v>Document/package fields expected in an EA/DN/FONSI record.</x:v>
      </x:c>
    </x:row>
    <x:row r="13" ht="44" customHeight="1">
      <x:c r="A13" s="39" t="str">
        <x:v>Project_AddOns</x:v>
      </x:c>
      <x:c r="B13" s="41" t="str">
        <x:v>Project-specific documents to require when facts trigger them; links point to the governing source or official program page.</x:v>
      </x:c>
    </x:row>
    <x:row r="14" ht="44" customHeight="1">
      <x:c r="A14" s="42" t="str">
        <x:v>Scope_Exclusions</x:v>
      </x:c>
      <x:c r="B14" s="44" t="str">
        <x:v>Documents intentionally excluded from ingest because they are noncurrent, EIS-only, non-Region 1, or not applicable to Forest Service Region 1 EAs.</x:v>
      </x:c>
    </x:row>
    <x:row r="15">
      <x:c r="A15" s="30"/>
      <x:c r="B15" s="30"/>
    </x:row>
  </x:sheetData>
  <x:pageMargins left="0.7" right="0.7" top="0.75" bottom="0.75" header="0.3" footer="0.3"/>
</x:worksheet>
</file>